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palmgren\Documents\elämän filut\"/>
    </mc:Choice>
  </mc:AlternateContent>
  <xr:revisionPtr revIDLastSave="0" documentId="13_ncr:1_{946F5344-17BB-4487-B175-E787C01F7683}" xr6:coauthVersionLast="47" xr6:coauthVersionMax="47" xr10:uidLastSave="{00000000-0000-0000-0000-000000000000}"/>
  <bookViews>
    <workbookView xWindow="22932" yWindow="-2928" windowWidth="30936" windowHeight="16776" activeTab="8" xr2:uid="{39C7CBFA-6609-4B6C-8C58-FE37861FB93D}"/>
  </bookViews>
  <sheets>
    <sheet name="TLDR" sheetId="7" r:id="rId1"/>
    <sheet name="Best" sheetId="6" r:id="rId2"/>
    <sheet name="Hats" sheetId="2" r:id="rId3"/>
    <sheet name="Shirts" sheetId="3" r:id="rId4"/>
    <sheet name="Gloves" sheetId="4" r:id="rId5"/>
    <sheet name="Pants" sheetId="5" r:id="rId6"/>
    <sheet name="Full sets" sheetId="10" r:id="rId7"/>
    <sheet name="Utility" sheetId="1" r:id="rId8"/>
    <sheet name="Results" sheetId="9" r:id="rId9"/>
    <sheet name="Config" sheetId="8"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 i="10" l="1"/>
  <c r="N3" i="10"/>
  <c r="N4" i="10"/>
  <c r="N5" i="10"/>
  <c r="N6" i="10"/>
  <c r="N7" i="10"/>
  <c r="N8" i="10"/>
  <c r="N9" i="10"/>
  <c r="N10" i="10"/>
  <c r="N11" i="10"/>
  <c r="N12" i="10"/>
  <c r="N13" i="10"/>
  <c r="N14" i="10"/>
  <c r="N15" i="10"/>
  <c r="N16" i="10"/>
  <c r="N17" i="10"/>
  <c r="N18" i="10"/>
  <c r="N19" i="10"/>
  <c r="N20" i="10"/>
  <c r="N21" i="10"/>
  <c r="N22" i="10"/>
  <c r="N23" i="10"/>
  <c r="N24" i="10"/>
  <c r="N25" i="10"/>
  <c r="N26" i="10"/>
  <c r="N27" i="10"/>
  <c r="N28" i="10"/>
  <c r="N29" i="10"/>
  <c r="N30" i="10"/>
  <c r="N31" i="10"/>
  <c r="N32" i="10"/>
  <c r="N33" i="10"/>
  <c r="N34" i="10"/>
  <c r="M2" i="10"/>
  <c r="M3" i="10"/>
  <c r="M4" i="10"/>
  <c r="M5" i="10"/>
  <c r="M6" i="10"/>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Q2" i="10" a="1"/>
  <c r="Q2" i="10" s="1"/>
  <c r="Q3" i="10" a="1"/>
  <c r="Q3" i="10" s="1"/>
  <c r="Q4" i="10" a="1"/>
  <c r="Q4" i="10" s="1"/>
  <c r="Q5" i="10" a="1"/>
  <c r="Q5" i="10" s="1"/>
  <c r="Q6" i="10" a="1"/>
  <c r="Q6" i="10" s="1"/>
  <c r="Q7" i="10" a="1"/>
  <c r="Q7" i="10" s="1"/>
  <c r="Q8" i="10" a="1"/>
  <c r="Q8" i="10" s="1"/>
  <c r="Q9" i="10" a="1"/>
  <c r="Q9" i="10" s="1"/>
  <c r="Q10" i="10" a="1"/>
  <c r="Q10" i="10" s="1"/>
  <c r="Q11" i="10" a="1"/>
  <c r="Q11" i="10" s="1"/>
  <c r="Q12" i="10" a="1"/>
  <c r="Q12" i="10" s="1"/>
  <c r="Q13" i="10" a="1"/>
  <c r="Q13" i="10" s="1"/>
  <c r="Q14" i="10" a="1"/>
  <c r="Q14" i="10" s="1"/>
  <c r="Q15" i="10" a="1"/>
  <c r="Q15" i="10" s="1"/>
  <c r="Q16" i="10" a="1"/>
  <c r="Q16" i="10" s="1"/>
  <c r="Q17" i="10" a="1"/>
  <c r="Q17" i="10" s="1"/>
  <c r="Q18" i="10" a="1"/>
  <c r="Q18" i="10" s="1"/>
  <c r="Q19" i="10" a="1"/>
  <c r="Q19" i="10" s="1"/>
  <c r="Q20" i="10" a="1"/>
  <c r="Q20" i="10" s="1"/>
  <c r="Q21" i="10" a="1"/>
  <c r="Q21" i="10" s="1"/>
  <c r="Q22" i="10" a="1"/>
  <c r="Q22" i="10" s="1"/>
  <c r="Q23" i="10" a="1"/>
  <c r="Q23" i="10" s="1"/>
  <c r="Q24" i="10" a="1"/>
  <c r="Q24" i="10" s="1"/>
  <c r="Q25" i="10" a="1"/>
  <c r="Q25" i="10" s="1"/>
  <c r="Q26" i="10" a="1"/>
  <c r="Q26" i="10" s="1"/>
  <c r="Q27" i="10" a="1"/>
  <c r="Q27" i="10" s="1"/>
  <c r="Q28" i="10" a="1"/>
  <c r="Q28" i="10" s="1"/>
  <c r="Q29" i="10" a="1"/>
  <c r="Q29" i="10" s="1"/>
  <c r="Q30" i="10" a="1"/>
  <c r="Q30" i="10" s="1"/>
  <c r="Q31" i="10" a="1"/>
  <c r="Q31" i="10" s="1"/>
  <c r="Q32" i="10" a="1"/>
  <c r="Q32" i="10" s="1"/>
  <c r="Q33" i="10" a="1"/>
  <c r="Q33" i="10"/>
  <c r="Q34" i="10" a="1"/>
  <c r="Q34" i="10" s="1"/>
  <c r="R2" i="10" a="1"/>
  <c r="R2" i="10" s="1"/>
  <c r="R3" i="10" a="1"/>
  <c r="R3" i="10"/>
  <c r="R4" i="10" a="1"/>
  <c r="R4" i="10"/>
  <c r="R5" i="10" a="1"/>
  <c r="R5" i="10" s="1"/>
  <c r="R6" i="10" a="1"/>
  <c r="R6" i="10" s="1"/>
  <c r="R7" i="10" a="1"/>
  <c r="R7" i="10" s="1"/>
  <c r="R8" i="10" a="1"/>
  <c r="R8" i="10" s="1"/>
  <c r="R9" i="10" a="1"/>
  <c r="R9" i="10" s="1"/>
  <c r="R10" i="10" a="1"/>
  <c r="R10" i="10" s="1"/>
  <c r="R11" i="10" a="1"/>
  <c r="R11" i="10"/>
  <c r="R12" i="10" a="1"/>
  <c r="R12" i="10" s="1"/>
  <c r="R13" i="10" a="1"/>
  <c r="R13" i="10" s="1"/>
  <c r="R14" i="10" a="1"/>
  <c r="R14" i="10"/>
  <c r="R15" i="10" a="1"/>
  <c r="R15" i="10" s="1"/>
  <c r="R16" i="10" a="1"/>
  <c r="R16" i="10" s="1"/>
  <c r="R17" i="10" a="1"/>
  <c r="R17" i="10" s="1"/>
  <c r="R18" i="10" a="1"/>
  <c r="R18" i="10" s="1"/>
  <c r="R19" i="10" a="1"/>
  <c r="R19" i="10" s="1"/>
  <c r="R20" i="10" a="1"/>
  <c r="R20" i="10" s="1"/>
  <c r="R21" i="10" a="1"/>
  <c r="R21" i="10" s="1"/>
  <c r="R22" i="10" a="1"/>
  <c r="R22" i="10" s="1"/>
  <c r="R23" i="10" a="1"/>
  <c r="R23" i="10"/>
  <c r="R24" i="10" a="1"/>
  <c r="R24" i="10" s="1"/>
  <c r="R25" i="10" a="1"/>
  <c r="R25" i="10"/>
  <c r="R26" i="10" a="1"/>
  <c r="R26" i="10" s="1"/>
  <c r="R27" i="10" a="1"/>
  <c r="R27" i="10" s="1"/>
  <c r="R28" i="10" a="1"/>
  <c r="R28" i="10" s="1"/>
  <c r="R29" i="10" a="1"/>
  <c r="R29" i="10" s="1"/>
  <c r="R30" i="10" a="1"/>
  <c r="R30" i="10" s="1"/>
  <c r="R31" i="10" a="1"/>
  <c r="R31" i="10" s="1"/>
  <c r="R32" i="10" a="1"/>
  <c r="R32" i="10" s="1"/>
  <c r="R33" i="10" a="1"/>
  <c r="R33" i="10" s="1"/>
  <c r="R34" i="10" a="1"/>
  <c r="R34" i="10"/>
  <c r="Q2" i="5" a="1"/>
  <c r="Q2" i="5" s="1"/>
  <c r="Q3" i="5" a="1"/>
  <c r="Q3" i="5" s="1"/>
  <c r="Q4" i="5" a="1"/>
  <c r="Q4" i="5" s="1"/>
  <c r="Q5" i="5" a="1"/>
  <c r="Q5" i="5" s="1"/>
  <c r="Q6" i="5" a="1"/>
  <c r="Q6" i="5" s="1"/>
  <c r="Q7" i="5" a="1"/>
  <c r="Q7" i="5" s="1"/>
  <c r="Q8" i="5" a="1"/>
  <c r="Q8" i="5" s="1"/>
  <c r="Q9" i="5" a="1"/>
  <c r="Q9" i="5" s="1"/>
  <c r="Q10" i="5" a="1"/>
  <c r="Q10" i="5" s="1"/>
  <c r="Q11" i="5" a="1"/>
  <c r="Q11" i="5" s="1"/>
  <c r="Q12" i="5" a="1"/>
  <c r="Q12" i="5" s="1"/>
  <c r="Q13" i="5" a="1"/>
  <c r="Q13" i="5" s="1"/>
  <c r="Q14" i="5" a="1"/>
  <c r="Q14" i="5" s="1"/>
  <c r="Q15" i="5" a="1"/>
  <c r="Q15" i="5" s="1"/>
  <c r="Q16" i="5" a="1"/>
  <c r="Q16" i="5" s="1"/>
  <c r="Q17" i="5" a="1"/>
  <c r="Q17" i="5" s="1"/>
  <c r="Q18" i="5" a="1"/>
  <c r="Q18" i="5" s="1"/>
  <c r="Q19" i="5" a="1"/>
  <c r="Q19" i="5" s="1"/>
  <c r="Q20" i="5" a="1"/>
  <c r="Q20" i="5" s="1"/>
  <c r="Q21" i="5" a="1"/>
  <c r="Q21" i="5" s="1"/>
  <c r="Q22" i="5" a="1"/>
  <c r="Q22" i="5" s="1"/>
  <c r="Q23" i="5" a="1"/>
  <c r="Q23" i="5" s="1"/>
  <c r="Q24" i="5" a="1"/>
  <c r="Q24" i="5" s="1"/>
  <c r="Q25" i="5" a="1"/>
  <c r="Q25" i="5" s="1"/>
  <c r="Q26" i="5" a="1"/>
  <c r="Q26" i="5" s="1"/>
  <c r="Q27" i="5" a="1"/>
  <c r="Q27" i="5" s="1"/>
  <c r="Q28" i="5" a="1"/>
  <c r="Q28" i="5" s="1"/>
  <c r="Q29" i="5" a="1"/>
  <c r="Q29" i="5" s="1"/>
  <c r="Q30" i="5" a="1"/>
  <c r="Q30" i="5" s="1"/>
  <c r="Q31" i="5" a="1"/>
  <c r="Q31" i="5" s="1"/>
  <c r="Q32" i="5" a="1"/>
  <c r="Q32" i="5" s="1"/>
  <c r="R2" i="5" a="1"/>
  <c r="R2" i="5" s="1"/>
  <c r="R3" i="5" a="1"/>
  <c r="R3" i="5" s="1"/>
  <c r="R4" i="5" a="1"/>
  <c r="R4" i="5" s="1"/>
  <c r="R5" i="5" a="1"/>
  <c r="R5" i="5" s="1"/>
  <c r="R6" i="5" a="1"/>
  <c r="R6" i="5" s="1"/>
  <c r="R7" i="5" a="1"/>
  <c r="R7" i="5" s="1"/>
  <c r="R8" i="5" a="1"/>
  <c r="R8" i="5" s="1"/>
  <c r="R9" i="5" a="1"/>
  <c r="R9" i="5" s="1"/>
  <c r="R10" i="5" a="1"/>
  <c r="R10" i="5" s="1"/>
  <c r="R11" i="5" a="1"/>
  <c r="R11" i="5"/>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26" i="5" a="1"/>
  <c r="R26" i="5" s="1"/>
  <c r="R27" i="5" a="1"/>
  <c r="R27" i="5" s="1"/>
  <c r="R28" i="5" a="1"/>
  <c r="R28" i="5"/>
  <c r="R29" i="5" a="1"/>
  <c r="R29" i="5" s="1"/>
  <c r="R30" i="5" a="1"/>
  <c r="R30" i="5" s="1"/>
  <c r="R31" i="5" a="1"/>
  <c r="R31" i="5"/>
  <c r="R32" i="5" a="1"/>
  <c r="R32" i="5" s="1"/>
  <c r="Q2" i="4" a="1"/>
  <c r="Q2"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c r="Q20" i="4" a="1"/>
  <c r="Q20" i="4" s="1"/>
  <c r="Q21" i="4" a="1"/>
  <c r="Q21" i="4" s="1"/>
  <c r="Q22" i="4" a="1"/>
  <c r="Q22" i="4" s="1"/>
  <c r="Q23" i="4" a="1"/>
  <c r="Q23" i="4" s="1"/>
  <c r="Q24" i="4" a="1"/>
  <c r="Q24" i="4" s="1"/>
  <c r="Q25" i="4" a="1"/>
  <c r="Q25" i="4" s="1"/>
  <c r="Q26" i="4" a="1"/>
  <c r="Q26" i="4"/>
  <c r="Q27" i="4" a="1"/>
  <c r="Q27" i="4" s="1"/>
  <c r="R2" i="4" a="1"/>
  <c r="R2" i="4" s="1"/>
  <c r="R3" i="4" a="1"/>
  <c r="R3" i="4" s="1"/>
  <c r="R4" i="4" a="1"/>
  <c r="R4" i="4" s="1"/>
  <c r="R5" i="4" a="1"/>
  <c r="R5" i="4" s="1"/>
  <c r="R6" i="4" a="1"/>
  <c r="R6" i="4" s="1"/>
  <c r="R7" i="4" a="1"/>
  <c r="R7" i="4" s="1"/>
  <c r="R8" i="4" a="1"/>
  <c r="R8" i="4" s="1"/>
  <c r="R9" i="4" a="1"/>
  <c r="R9" i="4" s="1"/>
  <c r="R10" i="4" a="1"/>
  <c r="R10" i="4" s="1"/>
  <c r="R11" i="4" a="1"/>
  <c r="R11" i="4" s="1"/>
  <c r="R12" i="4" a="1"/>
  <c r="R12" i="4" s="1"/>
  <c r="R13" i="4" a="1"/>
  <c r="R13" i="4" s="1"/>
  <c r="R14" i="4" a="1"/>
  <c r="R14" i="4" s="1"/>
  <c r="R15" i="4" a="1"/>
  <c r="R15" i="4" s="1"/>
  <c r="R16" i="4" a="1"/>
  <c r="R16" i="4" s="1"/>
  <c r="R17" i="4" a="1"/>
  <c r="R17" i="4" s="1"/>
  <c r="R18" i="4" a="1"/>
  <c r="R18" i="4" s="1"/>
  <c r="R19" i="4" a="1"/>
  <c r="R19" i="4" s="1"/>
  <c r="R20" i="4" a="1"/>
  <c r="R20" i="4" s="1"/>
  <c r="R21" i="4" a="1"/>
  <c r="R21" i="4" s="1"/>
  <c r="R22" i="4" a="1"/>
  <c r="R22" i="4" s="1"/>
  <c r="R23" i="4" a="1"/>
  <c r="R23" i="4" s="1"/>
  <c r="R24" i="4" a="1"/>
  <c r="R24" i="4"/>
  <c r="R25" i="4" a="1"/>
  <c r="R25" i="4" s="1"/>
  <c r="R26" i="4" a="1"/>
  <c r="R26" i="4" s="1"/>
  <c r="R27" i="4" a="1"/>
  <c r="R27" i="4" s="1"/>
  <c r="Q2" i="3" a="1"/>
  <c r="Q2" i="3" s="1"/>
  <c r="Q3" i="3" a="1"/>
  <c r="Q3" i="3" s="1"/>
  <c r="Q4" i="3" a="1"/>
  <c r="Q4" i="3" s="1"/>
  <c r="Q5" i="3" a="1"/>
  <c r="Q5" i="3" s="1"/>
  <c r="Q6" i="3" a="1"/>
  <c r="Q6" i="3" s="1"/>
  <c r="Q7" i="3" a="1"/>
  <c r="Q7" i="3" s="1"/>
  <c r="Q8" i="3" a="1"/>
  <c r="Q8" i="3" s="1"/>
  <c r="Q9" i="3" a="1"/>
  <c r="Q9" i="3" s="1"/>
  <c r="Q10" i="3" a="1"/>
  <c r="Q10" i="3" s="1"/>
  <c r="Q11" i="3" a="1"/>
  <c r="Q11" i="3" s="1"/>
  <c r="Q12" i="3" a="1"/>
  <c r="Q12" i="3" s="1"/>
  <c r="Q13" i="3" a="1"/>
  <c r="Q13" i="3" s="1"/>
  <c r="Q14" i="3" a="1"/>
  <c r="Q14" i="3" s="1"/>
  <c r="Q15" i="3" a="1"/>
  <c r="Q15" i="3" s="1"/>
  <c r="Q16" i="3" a="1"/>
  <c r="Q16" i="3" s="1"/>
  <c r="Q17" i="3" a="1"/>
  <c r="Q17" i="3" s="1"/>
  <c r="Q18" i="3" a="1"/>
  <c r="Q18" i="3" s="1"/>
  <c r="Q19" i="3" a="1"/>
  <c r="Q19" i="3" s="1"/>
  <c r="Q20" i="3" a="1"/>
  <c r="Q20" i="3" s="1"/>
  <c r="Q21" i="3" a="1"/>
  <c r="Q21" i="3" s="1"/>
  <c r="Q22" i="3" a="1"/>
  <c r="Q22" i="3" s="1"/>
  <c r="Q23" i="3" a="1"/>
  <c r="Q23" i="3" s="1"/>
  <c r="Q24" i="3" a="1"/>
  <c r="Q24" i="3" s="1"/>
  <c r="Q25" i="3" a="1"/>
  <c r="Q25" i="3" s="1"/>
  <c r="Q26" i="3" a="1"/>
  <c r="Q26" i="3" s="1"/>
  <c r="Q27" i="3" a="1"/>
  <c r="Q27" i="3" s="1"/>
  <c r="Q28" i="3" a="1"/>
  <c r="Q28" i="3" s="1"/>
  <c r="Q29" i="3" a="1"/>
  <c r="Q29" i="3" s="1"/>
  <c r="Q30" i="3" a="1"/>
  <c r="Q30" i="3" s="1"/>
  <c r="Q31" i="3" a="1"/>
  <c r="Q31" i="3" s="1"/>
  <c r="Q32" i="3" a="1"/>
  <c r="Q32" i="3" s="1"/>
  <c r="Q33" i="3" a="1"/>
  <c r="Q33" i="3" s="1"/>
  <c r="Q34" i="3" a="1"/>
  <c r="Q34" i="3" s="1"/>
  <c r="Q35" i="3" a="1"/>
  <c r="Q35" i="3" s="1"/>
  <c r="R2" i="3" a="1"/>
  <c r="R2" i="3" s="1"/>
  <c r="R3" i="3" a="1"/>
  <c r="R3" i="3" s="1"/>
  <c r="R4" i="3" a="1"/>
  <c r="R4" i="3" s="1"/>
  <c r="R5" i="3" a="1"/>
  <c r="R5" i="3" s="1"/>
  <c r="R6" i="3" a="1"/>
  <c r="R6" i="3" s="1"/>
  <c r="R7" i="3" a="1"/>
  <c r="R7" i="3" s="1"/>
  <c r="R8" i="3" a="1"/>
  <c r="R8" i="3" s="1"/>
  <c r="R9" i="3" a="1"/>
  <c r="R9" i="3" s="1"/>
  <c r="R10" i="3" a="1"/>
  <c r="R10" i="3" s="1"/>
  <c r="R11" i="3" a="1"/>
  <c r="R11" i="3" s="1"/>
  <c r="R12" i="3" a="1"/>
  <c r="R12" i="3" s="1"/>
  <c r="R13" i="3" a="1"/>
  <c r="R13" i="3" s="1"/>
  <c r="R14" i="3" a="1"/>
  <c r="R14" i="3"/>
  <c r="R15" i="3" a="1"/>
  <c r="R15" i="3" s="1"/>
  <c r="R16" i="3" a="1"/>
  <c r="R16" i="3" s="1"/>
  <c r="R17" i="3" a="1"/>
  <c r="R17" i="3" s="1"/>
  <c r="R18" i="3" a="1"/>
  <c r="R18" i="3" s="1"/>
  <c r="R19" i="3" a="1"/>
  <c r="R19" i="3" s="1"/>
  <c r="R20" i="3" a="1"/>
  <c r="R20" i="3" s="1"/>
  <c r="R21" i="3" a="1"/>
  <c r="R21" i="3" s="1"/>
  <c r="R22" i="3" a="1"/>
  <c r="R22" i="3" s="1"/>
  <c r="R23" i="3" a="1"/>
  <c r="R23" i="3"/>
  <c r="R24" i="3" a="1"/>
  <c r="R24" i="3" s="1"/>
  <c r="R25" i="3" a="1"/>
  <c r="R25" i="3" s="1"/>
  <c r="R26" i="3" a="1"/>
  <c r="R26" i="3" s="1"/>
  <c r="R27" i="3" a="1"/>
  <c r="R27" i="3" s="1"/>
  <c r="R28" i="3" a="1"/>
  <c r="R28" i="3" s="1"/>
  <c r="R29" i="3" a="1"/>
  <c r="R29" i="3" s="1"/>
  <c r="R30" i="3" a="1"/>
  <c r="R30" i="3" s="1"/>
  <c r="R31" i="3" a="1"/>
  <c r="R31" i="3" s="1"/>
  <c r="R32" i="3" a="1"/>
  <c r="R32" i="3" s="1"/>
  <c r="R33" i="3" a="1"/>
  <c r="R33" i="3" s="1"/>
  <c r="R34" i="3" a="1"/>
  <c r="R34" i="3" s="1"/>
  <c r="R35" i="3" a="1"/>
  <c r="R35" i="3" s="1"/>
  <c r="R2" i="2" a="1"/>
  <c r="R2" i="2" s="1"/>
  <c r="R3" i="2" a="1"/>
  <c r="R3" i="2" s="1"/>
  <c r="R4" i="2" a="1"/>
  <c r="R4" i="2" s="1"/>
  <c r="R5" i="2" a="1"/>
  <c r="R5" i="2" s="1"/>
  <c r="R6" i="2" a="1"/>
  <c r="R6" i="2" s="1"/>
  <c r="R7" i="2" a="1"/>
  <c r="R7" i="2" s="1"/>
  <c r="R8" i="2" a="1"/>
  <c r="R8" i="2" s="1"/>
  <c r="R9" i="2" a="1"/>
  <c r="R9" i="2" s="1"/>
  <c r="R10" i="2" a="1"/>
  <c r="R10" i="2" s="1"/>
  <c r="R11" i="2" a="1"/>
  <c r="R11" i="2" s="1"/>
  <c r="R12" i="2" a="1"/>
  <c r="R12" i="2" s="1"/>
  <c r="R13" i="2" a="1"/>
  <c r="R13" i="2" s="1"/>
  <c r="R14" i="2" a="1"/>
  <c r="R14" i="2" s="1"/>
  <c r="R15" i="2" a="1"/>
  <c r="R15" i="2" s="1"/>
  <c r="R16" i="2" a="1"/>
  <c r="R16" i="2" s="1"/>
  <c r="R17" i="2" a="1"/>
  <c r="R17" i="2" s="1"/>
  <c r="R18" i="2" a="1"/>
  <c r="R18" i="2" s="1"/>
  <c r="R19" i="2" a="1"/>
  <c r="R19" i="2" s="1"/>
  <c r="R20" i="2" a="1"/>
  <c r="R20" i="2" s="1"/>
  <c r="R21" i="2" a="1"/>
  <c r="R21" i="2"/>
  <c r="R22" i="2" a="1"/>
  <c r="R22" i="2" s="1"/>
  <c r="R23" i="2" a="1"/>
  <c r="R23" i="2" s="1"/>
  <c r="R24" i="2" a="1"/>
  <c r="R24" i="2" s="1"/>
  <c r="R25" i="2" a="1"/>
  <c r="R25" i="2" s="1"/>
  <c r="R26" i="2" a="1"/>
  <c r="R26" i="2" s="1"/>
  <c r="R27" i="2" a="1"/>
  <c r="R27" i="2" s="1"/>
  <c r="R28" i="2" a="1"/>
  <c r="R28" i="2" s="1"/>
  <c r="R29" i="2" a="1"/>
  <c r="R29" i="2" s="1"/>
  <c r="R30" i="2" a="1"/>
  <c r="R30" i="2" s="1"/>
  <c r="R31" i="2" a="1"/>
  <c r="R31" i="2" s="1"/>
  <c r="R32" i="2" a="1"/>
  <c r="R32" i="2" s="1"/>
  <c r="R33" i="2" a="1"/>
  <c r="R33" i="2" s="1"/>
  <c r="R34" i="2" a="1"/>
  <c r="R34" i="2" s="1"/>
  <c r="R35" i="2" a="1"/>
  <c r="R35" i="2" s="1"/>
  <c r="Q2" i="2" a="1"/>
  <c r="Q2" i="2" s="1"/>
  <c r="Q3" i="2" a="1"/>
  <c r="Q3" i="2" s="1"/>
  <c r="Q4" i="2" a="1"/>
  <c r="Q4" i="2" s="1"/>
  <c r="Q5" i="2" a="1"/>
  <c r="Q5" i="2" s="1"/>
  <c r="Q6" i="2" a="1"/>
  <c r="Q6" i="2" s="1"/>
  <c r="Q7" i="2" a="1"/>
  <c r="Q7" i="2" s="1"/>
  <c r="Q8" i="2" a="1"/>
  <c r="Q8" i="2" s="1"/>
  <c r="Q9" i="2" a="1"/>
  <c r="Q9" i="2" s="1"/>
  <c r="Q10" i="2" a="1"/>
  <c r="Q10" i="2" s="1"/>
  <c r="Q11" i="2" a="1"/>
  <c r="Q11" i="2" s="1"/>
  <c r="Q12" i="2" a="1"/>
  <c r="Q12" i="2" s="1"/>
  <c r="Q13" i="2" a="1"/>
  <c r="Q13" i="2" s="1"/>
  <c r="Q14" i="2" a="1"/>
  <c r="Q14" i="2" s="1"/>
  <c r="Q15" i="2" a="1"/>
  <c r="Q15" i="2" s="1"/>
  <c r="Q16" i="2" a="1"/>
  <c r="Q16" i="2" s="1"/>
  <c r="Q17" i="2" a="1"/>
  <c r="Q17" i="2" s="1"/>
  <c r="Q18" i="2" a="1"/>
  <c r="Q18" i="2" s="1"/>
  <c r="Q19" i="2" a="1"/>
  <c r="Q19" i="2" s="1"/>
  <c r="Q20" i="2" a="1"/>
  <c r="Q20" i="2" s="1"/>
  <c r="Q21" i="2" a="1"/>
  <c r="Q21" i="2" s="1"/>
  <c r="Q22" i="2" a="1"/>
  <c r="Q22" i="2" s="1"/>
  <c r="Q23" i="2" a="1"/>
  <c r="Q23" i="2" s="1"/>
  <c r="Q24" i="2" a="1"/>
  <c r="Q24" i="2" s="1"/>
  <c r="Q25" i="2" a="1"/>
  <c r="Q25" i="2" s="1"/>
  <c r="Q26" i="2" a="1"/>
  <c r="Q26" i="2" s="1"/>
  <c r="Q27" i="2" a="1"/>
  <c r="Q27" i="2" s="1"/>
  <c r="Q28" i="2" a="1"/>
  <c r="Q28" i="2" s="1"/>
  <c r="Q29" i="2" a="1"/>
  <c r="Q29" i="2" s="1"/>
  <c r="Q30" i="2" a="1"/>
  <c r="Q30" i="2" s="1"/>
  <c r="Q31" i="2" a="1"/>
  <c r="Q31" i="2" s="1"/>
  <c r="Q32" i="2" a="1"/>
  <c r="Q32" i="2" s="1"/>
  <c r="Q33" i="2" a="1"/>
  <c r="Q33" i="2" s="1"/>
  <c r="Q34" i="2" a="1"/>
  <c r="Q34" i="2" s="1"/>
  <c r="Q35" i="2" a="1"/>
  <c r="Q35" i="2" s="1"/>
  <c r="S30" i="10" l="1"/>
  <c r="S16" i="10"/>
  <c r="S2" i="10"/>
  <c r="O29" i="10"/>
  <c r="O21" i="10"/>
  <c r="O7" i="10"/>
  <c r="O34" i="10"/>
  <c r="O20" i="10"/>
  <c r="O6" i="10"/>
  <c r="S25" i="10"/>
  <c r="O33" i="10"/>
  <c r="O19" i="10"/>
  <c r="O5" i="10"/>
  <c r="O32" i="10"/>
  <c r="O18" i="10"/>
  <c r="S32" i="10"/>
  <c r="O31" i="10"/>
  <c r="O17" i="10"/>
  <c r="O3" i="10"/>
  <c r="O30" i="10"/>
  <c r="O16" i="10"/>
  <c r="O22" i="10"/>
  <c r="S31" i="10"/>
  <c r="O15" i="10"/>
  <c r="S8" i="10"/>
  <c r="O28" i="10"/>
  <c r="O14" i="10"/>
  <c r="O27" i="10"/>
  <c r="O13" i="10"/>
  <c r="O26" i="10"/>
  <c r="O25" i="10"/>
  <c r="O11" i="10"/>
  <c r="O10" i="10"/>
  <c r="O23" i="10"/>
  <c r="O9" i="10"/>
  <c r="O8" i="10"/>
  <c r="O12" i="10"/>
  <c r="O24" i="10"/>
  <c r="O4" i="10"/>
  <c r="O2" i="10"/>
  <c r="S7" i="10"/>
  <c r="S6" i="10"/>
  <c r="S22" i="10"/>
  <c r="S19" i="10"/>
  <c r="S3" i="10"/>
  <c r="S18" i="10"/>
  <c r="S23" i="10"/>
  <c r="S21" i="10"/>
  <c r="S4" i="10"/>
  <c r="S14" i="10"/>
  <c r="S13" i="10"/>
  <c r="S20" i="10"/>
  <c r="S28" i="10"/>
  <c r="S11" i="10"/>
  <c r="S27" i="10"/>
  <c r="S10" i="10"/>
  <c r="S15" i="10"/>
  <c r="S29" i="10"/>
  <c r="S34" i="10"/>
  <c r="S9" i="10"/>
  <c r="S33" i="10"/>
  <c r="S17" i="10"/>
  <c r="S24" i="10"/>
  <c r="S5" i="10"/>
  <c r="S26" i="10"/>
  <c r="S12" i="10"/>
  <c r="N20" i="5"/>
  <c r="S20" i="5" s="1"/>
  <c r="N28" i="5"/>
  <c r="S28" i="5" s="1"/>
  <c r="N13" i="5"/>
  <c r="S13" i="5" s="1"/>
  <c r="N10" i="5"/>
  <c r="S10" i="5" s="1"/>
  <c r="N11" i="5"/>
  <c r="S11" i="5" s="1"/>
  <c r="N15" i="5"/>
  <c r="S15" i="5" s="1"/>
  <c r="N26" i="5"/>
  <c r="S26" i="5" s="1"/>
  <c r="N4" i="5"/>
  <c r="S4" i="5" s="1"/>
  <c r="N9" i="5"/>
  <c r="S9" i="5" s="1"/>
  <c r="N21" i="5"/>
  <c r="S21" i="5" s="1"/>
  <c r="N22" i="5"/>
  <c r="S22" i="5" s="1"/>
  <c r="N17" i="5"/>
  <c r="S17" i="5" s="1"/>
  <c r="N29" i="5"/>
  <c r="S29" i="5" s="1"/>
  <c r="N32" i="5"/>
  <c r="S32" i="5" s="1"/>
  <c r="N19" i="5"/>
  <c r="S19" i="5" s="1"/>
  <c r="N6" i="5"/>
  <c r="S6" i="5" s="1"/>
  <c r="N25" i="5"/>
  <c r="S25" i="5" s="1"/>
  <c r="N3" i="5"/>
  <c r="S3" i="5" s="1"/>
  <c r="N24" i="5"/>
  <c r="S24" i="5" s="1"/>
  <c r="N12" i="5"/>
  <c r="S12" i="5" s="1"/>
  <c r="N27" i="5"/>
  <c r="S27" i="5" s="1"/>
  <c r="N31" i="5"/>
  <c r="S31" i="5" s="1"/>
  <c r="N23" i="5"/>
  <c r="S23" i="5" s="1"/>
  <c r="N7" i="5"/>
  <c r="S7" i="5" s="1"/>
  <c r="N30" i="5"/>
  <c r="S30" i="5" s="1"/>
  <c r="N8" i="5"/>
  <c r="S8" i="5" s="1"/>
  <c r="N18" i="5"/>
  <c r="S18" i="5" s="1"/>
  <c r="N14" i="5"/>
  <c r="S14" i="5" s="1"/>
  <c r="N16" i="5"/>
  <c r="S16" i="5" s="1"/>
  <c r="N5" i="5"/>
  <c r="S5" i="5" s="1"/>
  <c r="N2" i="5"/>
  <c r="S2" i="5" s="1"/>
  <c r="N9" i="4"/>
  <c r="S9" i="4" s="1"/>
  <c r="N22" i="4"/>
  <c r="S22" i="4" s="1"/>
  <c r="N13" i="4"/>
  <c r="S13" i="4" s="1"/>
  <c r="N20" i="4"/>
  <c r="S20" i="4" s="1"/>
  <c r="N5" i="4"/>
  <c r="S5" i="4" s="1"/>
  <c r="N10" i="4"/>
  <c r="S10" i="4" s="1"/>
  <c r="N25" i="4"/>
  <c r="S25" i="4" s="1"/>
  <c r="N21" i="4"/>
  <c r="S21" i="4" s="1"/>
  <c r="N26" i="4"/>
  <c r="S26" i="4" s="1"/>
  <c r="N15" i="4"/>
  <c r="S15" i="4" s="1"/>
  <c r="N16" i="4"/>
  <c r="S16" i="4" s="1"/>
  <c r="N4" i="4"/>
  <c r="S4" i="4" s="1"/>
  <c r="N17" i="4"/>
  <c r="S17" i="4" s="1"/>
  <c r="N7" i="4"/>
  <c r="S7" i="4" s="1"/>
  <c r="N14" i="4"/>
  <c r="S14" i="4" s="1"/>
  <c r="N27" i="4"/>
  <c r="S27" i="4" s="1"/>
  <c r="N12" i="4"/>
  <c r="S12" i="4" s="1"/>
  <c r="N8" i="4"/>
  <c r="S8" i="4" s="1"/>
  <c r="N19" i="4"/>
  <c r="N18" i="4"/>
  <c r="S18" i="4" s="1"/>
  <c r="N24" i="4"/>
  <c r="S24" i="4" s="1"/>
  <c r="N2" i="4"/>
  <c r="S2" i="4" s="1"/>
  <c r="N6" i="4"/>
  <c r="S6" i="4" s="1"/>
  <c r="N11" i="4"/>
  <c r="S11" i="4" s="1"/>
  <c r="N23" i="4"/>
  <c r="S23" i="4" s="1"/>
  <c r="N3" i="4"/>
  <c r="S3" i="4" s="1"/>
  <c r="N14" i="3"/>
  <c r="S14" i="3" s="1"/>
  <c r="N4" i="3"/>
  <c r="S4" i="3" s="1"/>
  <c r="N16" i="3"/>
  <c r="S16" i="3" s="1"/>
  <c r="N19" i="3"/>
  <c r="N32" i="3"/>
  <c r="S32" i="3" s="1"/>
  <c r="N33" i="3"/>
  <c r="S33" i="3" s="1"/>
  <c r="N9" i="3"/>
  <c r="S9" i="3" s="1"/>
  <c r="N20" i="3"/>
  <c r="S20" i="3" s="1"/>
  <c r="N5" i="3"/>
  <c r="S5" i="3" s="1"/>
  <c r="N10" i="3"/>
  <c r="S10" i="3" s="1"/>
  <c r="N35" i="3"/>
  <c r="S35" i="3" s="1"/>
  <c r="N21" i="3"/>
  <c r="S21" i="3" s="1"/>
  <c r="N11" i="3"/>
  <c r="S11" i="3" s="1"/>
  <c r="N8" i="3"/>
  <c r="S8" i="3" s="1"/>
  <c r="N22" i="3"/>
  <c r="S22" i="3" s="1"/>
  <c r="N25" i="3"/>
  <c r="S25" i="3" s="1"/>
  <c r="N7" i="3"/>
  <c r="S7" i="3" s="1"/>
  <c r="N2" i="3"/>
  <c r="S2" i="3" s="1"/>
  <c r="N18" i="3"/>
  <c r="S18" i="3" s="1"/>
  <c r="N28" i="3"/>
  <c r="S28" i="3" s="1"/>
  <c r="N12" i="3"/>
  <c r="S12" i="3" s="1"/>
  <c r="N3" i="3"/>
  <c r="S3" i="3" s="1"/>
  <c r="N6" i="3"/>
  <c r="S6" i="3" s="1"/>
  <c r="N34" i="3"/>
  <c r="S34" i="3" s="1"/>
  <c r="N17" i="3"/>
  <c r="S17" i="3" s="1"/>
  <c r="N23" i="3"/>
  <c r="S23" i="3" s="1"/>
  <c r="N29" i="3"/>
  <c r="S29" i="3" s="1"/>
  <c r="N26" i="3"/>
  <c r="S26" i="3" s="1"/>
  <c r="N24" i="3"/>
  <c r="S24" i="3" s="1"/>
  <c r="N30" i="3"/>
  <c r="S30" i="3" s="1"/>
  <c r="N27" i="3"/>
  <c r="S27" i="3" s="1"/>
  <c r="N31" i="3"/>
  <c r="S31" i="3" s="1"/>
  <c r="N15" i="3"/>
  <c r="S15" i="3" s="1"/>
  <c r="N13" i="3"/>
  <c r="S13" i="3" s="1"/>
  <c r="N19" i="2"/>
  <c r="S19" i="2" s="1"/>
  <c r="N16" i="2"/>
  <c r="S16" i="2" s="1"/>
  <c r="N31" i="2"/>
  <c r="S31" i="2" s="1"/>
  <c r="N35" i="2"/>
  <c r="S35" i="2" s="1"/>
  <c r="N33" i="2"/>
  <c r="S33" i="2" s="1"/>
  <c r="N3" i="2"/>
  <c r="S3" i="2" s="1"/>
  <c r="N17" i="2"/>
  <c r="S17" i="2" s="1"/>
  <c r="N6" i="2"/>
  <c r="S6" i="2" s="1"/>
  <c r="N21" i="2"/>
  <c r="S21" i="2" s="1"/>
  <c r="N24" i="2"/>
  <c r="S24" i="2" s="1"/>
  <c r="N8" i="2"/>
  <c r="S8" i="2" s="1"/>
  <c r="N7" i="2"/>
  <c r="S7" i="2" s="1"/>
  <c r="N2" i="2"/>
  <c r="S2" i="2" s="1"/>
  <c r="N10" i="2"/>
  <c r="S10" i="2" s="1"/>
  <c r="N25" i="2"/>
  <c r="S25" i="2" s="1"/>
  <c r="N20" i="2"/>
  <c r="S20" i="2" s="1"/>
  <c r="N14" i="2"/>
  <c r="S14" i="2" s="1"/>
  <c r="N28" i="2"/>
  <c r="S28" i="2" s="1"/>
  <c r="N34" i="2"/>
  <c r="S34" i="2" s="1"/>
  <c r="N18" i="2"/>
  <c r="S18" i="2" s="1"/>
  <c r="N9" i="2"/>
  <c r="S9" i="2" s="1"/>
  <c r="N15" i="2"/>
  <c r="S15" i="2" s="1"/>
  <c r="N23" i="2"/>
  <c r="S23" i="2" s="1"/>
  <c r="N32" i="2"/>
  <c r="S32" i="2" s="1"/>
  <c r="N26" i="2"/>
  <c r="S26" i="2" s="1"/>
  <c r="N29" i="2"/>
  <c r="S29" i="2" s="1"/>
  <c r="N11" i="2"/>
  <c r="S11" i="2" s="1"/>
  <c r="N5" i="2"/>
  <c r="S5" i="2" s="1"/>
  <c r="N22" i="2"/>
  <c r="S22" i="2" s="1"/>
  <c r="N27" i="2"/>
  <c r="S27" i="2" s="1"/>
  <c r="N13" i="2"/>
  <c r="S13" i="2" s="1"/>
  <c r="N30" i="2"/>
  <c r="S30" i="2" s="1"/>
  <c r="N4" i="2"/>
  <c r="S4" i="2" s="1"/>
  <c r="N12" i="2"/>
  <c r="S12" i="2" s="1"/>
  <c r="M2" i="5"/>
  <c r="M3" i="5"/>
  <c r="M4" i="5"/>
  <c r="M5" i="5"/>
  <c r="M6" i="5"/>
  <c r="M7" i="5"/>
  <c r="M8" i="5"/>
  <c r="M9" i="5"/>
  <c r="M10" i="5"/>
  <c r="M11" i="5"/>
  <c r="M12" i="5"/>
  <c r="M13" i="5"/>
  <c r="M14" i="5"/>
  <c r="M15" i="5"/>
  <c r="M16" i="5"/>
  <c r="M17" i="5"/>
  <c r="M18" i="5"/>
  <c r="M19" i="5"/>
  <c r="M20" i="5"/>
  <c r="M21" i="5"/>
  <c r="M22" i="5"/>
  <c r="M23" i="5"/>
  <c r="M24" i="5"/>
  <c r="M25" i="5"/>
  <c r="M26" i="5"/>
  <c r="M27" i="5"/>
  <c r="M28" i="5"/>
  <c r="M29" i="5"/>
  <c r="M30" i="5"/>
  <c r="M31" i="5"/>
  <c r="M32" i="5"/>
  <c r="M2" i="4"/>
  <c r="M4" i="4"/>
  <c r="M3" i="4"/>
  <c r="M5" i="4"/>
  <c r="M6" i="4"/>
  <c r="M7" i="4"/>
  <c r="M8" i="4"/>
  <c r="M9" i="4"/>
  <c r="M10" i="4"/>
  <c r="M11" i="4"/>
  <c r="M12" i="4"/>
  <c r="M13" i="4"/>
  <c r="M14" i="4"/>
  <c r="M15" i="4"/>
  <c r="M16" i="4"/>
  <c r="M17" i="4"/>
  <c r="M18" i="4"/>
  <c r="M19" i="4"/>
  <c r="M20" i="4"/>
  <c r="M21" i="4"/>
  <c r="M22" i="4"/>
  <c r="M23" i="4"/>
  <c r="M24" i="4"/>
  <c r="M25" i="4"/>
  <c r="M26" i="4"/>
  <c r="M27" i="4"/>
  <c r="M2" i="3"/>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16" i="2"/>
  <c r="M19" i="2"/>
  <c r="M31" i="2"/>
  <c r="M35" i="2"/>
  <c r="M33" i="2"/>
  <c r="M3" i="2"/>
  <c r="M17" i="2"/>
  <c r="M6" i="2"/>
  <c r="M21" i="2"/>
  <c r="M24" i="2"/>
  <c r="M7" i="2"/>
  <c r="M8" i="2"/>
  <c r="M2" i="2"/>
  <c r="M10" i="2"/>
  <c r="M25" i="2"/>
  <c r="M20" i="2"/>
  <c r="M14" i="2"/>
  <c r="M28" i="2"/>
  <c r="M34" i="2"/>
  <c r="M9" i="2"/>
  <c r="M18" i="2"/>
  <c r="M15" i="2"/>
  <c r="M23" i="2"/>
  <c r="M32" i="2"/>
  <c r="M26" i="2"/>
  <c r="M11" i="2"/>
  <c r="M29" i="2"/>
  <c r="M5" i="2"/>
  <c r="M22" i="2"/>
  <c r="M27" i="2"/>
  <c r="M13" i="2"/>
  <c r="M30" i="2"/>
  <c r="M4" i="2"/>
  <c r="M12" i="2"/>
  <c r="C16" i="6"/>
  <c r="J16" i="6" a="1"/>
  <c r="I16" i="6" a="1"/>
  <c r="F16" i="6" a="1"/>
  <c r="P16" i="6" a="1"/>
  <c r="L16" i="6" a="1"/>
  <c r="K16" i="6" a="1"/>
  <c r="O16" i="6" a="1"/>
  <c r="P27" i="10" l="1"/>
  <c r="P26" i="10"/>
  <c r="P14" i="10"/>
  <c r="P15" i="10"/>
  <c r="P3" i="10"/>
  <c r="P10" i="10"/>
  <c r="P11" i="10"/>
  <c r="P4" i="10"/>
  <c r="P9" i="10"/>
  <c r="P23" i="10"/>
  <c r="P25" i="10"/>
  <c r="P28" i="10"/>
  <c r="P13" i="10"/>
  <c r="P19" i="10"/>
  <c r="P21" i="10"/>
  <c r="P20" i="10"/>
  <c r="P16" i="10"/>
  <c r="P34" i="10"/>
  <c r="P30" i="10"/>
  <c r="P31" i="10"/>
  <c r="P7" i="10"/>
  <c r="P8" i="10"/>
  <c r="P2" i="10"/>
  <c r="P12" i="10"/>
  <c r="P32" i="10"/>
  <c r="P29" i="10"/>
  <c r="P5" i="10"/>
  <c r="P18" i="10"/>
  <c r="P33" i="10"/>
  <c r="P6" i="10"/>
  <c r="P17" i="10"/>
  <c r="P24" i="10"/>
  <c r="P22" i="10"/>
  <c r="T33" i="10"/>
  <c r="T12" i="10"/>
  <c r="T34" i="10"/>
  <c r="T20" i="10"/>
  <c r="T13" i="10"/>
  <c r="T22" i="10"/>
  <c r="T6" i="10"/>
  <c r="T31" i="10"/>
  <c r="T23" i="10"/>
  <c r="T10" i="10"/>
  <c r="T32" i="10"/>
  <c r="T7" i="10"/>
  <c r="T3" i="10"/>
  <c r="T8" i="10"/>
  <c r="T9" i="10"/>
  <c r="T19" i="10"/>
  <c r="T17" i="10"/>
  <c r="T25" i="10"/>
  <c r="T11" i="10"/>
  <c r="T21" i="10"/>
  <c r="T27" i="10"/>
  <c r="T5" i="10"/>
  <c r="T14" i="10"/>
  <c r="T15" i="10"/>
  <c r="T18" i="10"/>
  <c r="T24" i="10"/>
  <c r="T26" i="10"/>
  <c r="T30" i="10"/>
  <c r="T16" i="10"/>
  <c r="T28" i="10"/>
  <c r="T29" i="10"/>
  <c r="T4" i="10"/>
  <c r="T2" i="10"/>
  <c r="T23" i="5"/>
  <c r="T9" i="5"/>
  <c r="T9" i="2"/>
  <c r="T27" i="5"/>
  <c r="T26" i="5"/>
  <c r="T12" i="5"/>
  <c r="T15" i="5"/>
  <c r="T2" i="5"/>
  <c r="T13" i="5"/>
  <c r="T5" i="5"/>
  <c r="T6" i="5"/>
  <c r="T28" i="5"/>
  <c r="T16" i="5"/>
  <c r="T20" i="5"/>
  <c r="T17" i="5"/>
  <c r="T18" i="5"/>
  <c r="T22" i="5"/>
  <c r="T14" i="5"/>
  <c r="T19" i="5"/>
  <c r="T24" i="5"/>
  <c r="T4" i="5"/>
  <c r="T3" i="5"/>
  <c r="T32" i="5"/>
  <c r="T25" i="5"/>
  <c r="T21" i="5"/>
  <c r="T29" i="5"/>
  <c r="T30" i="5"/>
  <c r="T7" i="5"/>
  <c r="T11" i="5"/>
  <c r="T10" i="5"/>
  <c r="T8" i="5"/>
  <c r="T31" i="5"/>
  <c r="S19" i="4"/>
  <c r="T19" i="4" s="1"/>
  <c r="S19" i="3"/>
  <c r="T19" i="3" s="1"/>
  <c r="T17" i="2"/>
  <c r="T30" i="2"/>
  <c r="T28" i="2"/>
  <c r="T35" i="2"/>
  <c r="T13" i="2"/>
  <c r="T14" i="2"/>
  <c r="T31" i="2"/>
  <c r="T12" i="2"/>
  <c r="T33" i="2"/>
  <c r="T27" i="2"/>
  <c r="T20" i="2"/>
  <c r="T16" i="2"/>
  <c r="T18" i="2"/>
  <c r="T4" i="2"/>
  <c r="T34" i="2"/>
  <c r="T22" i="2"/>
  <c r="T25" i="2"/>
  <c r="T19" i="2"/>
  <c r="T5" i="2"/>
  <c r="T10" i="2"/>
  <c r="T2" i="2"/>
  <c r="T29" i="2"/>
  <c r="T7" i="2"/>
  <c r="T3" i="2"/>
  <c r="T11" i="2"/>
  <c r="T26" i="2"/>
  <c r="T8" i="2"/>
  <c r="T32" i="2"/>
  <c r="T23" i="2"/>
  <c r="T21" i="2"/>
  <c r="T24" i="2"/>
  <c r="T15" i="2"/>
  <c r="T6" i="2"/>
  <c r="F16" i="6"/>
  <c r="L16" i="6"/>
  <c r="I16" i="6"/>
  <c r="O16" i="6"/>
  <c r="P16" i="6"/>
  <c r="J16" i="6"/>
  <c r="K16" i="6"/>
  <c r="O25" i="5"/>
  <c r="O29" i="5"/>
  <c r="O25" i="4"/>
  <c r="O19" i="2"/>
  <c r="O24" i="5"/>
  <c r="O23" i="5"/>
  <c r="O22" i="5"/>
  <c r="O26" i="5"/>
  <c r="O21" i="5"/>
  <c r="O7" i="5"/>
  <c r="O20" i="5"/>
  <c r="O6" i="5"/>
  <c r="O14" i="5"/>
  <c r="O27" i="5"/>
  <c r="O19" i="5"/>
  <c r="O5" i="5"/>
  <c r="O32" i="5"/>
  <c r="O18" i="5"/>
  <c r="O4" i="5"/>
  <c r="O31" i="5"/>
  <c r="O17" i="5"/>
  <c r="O3" i="5"/>
  <c r="O30" i="5"/>
  <c r="O16" i="5"/>
  <c r="O2" i="5"/>
  <c r="O27" i="4"/>
  <c r="O19" i="4"/>
  <c r="O6" i="4"/>
  <c r="O12" i="4"/>
  <c r="O10" i="4"/>
  <c r="O22" i="4"/>
  <c r="O8" i="4"/>
  <c r="O18" i="4"/>
  <c r="O9" i="4"/>
  <c r="O20" i="4"/>
  <c r="O17" i="4"/>
  <c r="O3" i="4"/>
  <c r="O24" i="4"/>
  <c r="O16" i="4"/>
  <c r="O4" i="4"/>
  <c r="O23" i="4"/>
  <c r="O15" i="4"/>
  <c r="O2" i="4"/>
  <c r="O21" i="4"/>
  <c r="O29" i="3"/>
  <c r="O34" i="3"/>
  <c r="O6" i="3"/>
  <c r="O33" i="3"/>
  <c r="O19" i="3"/>
  <c r="O5" i="3"/>
  <c r="O21" i="3"/>
  <c r="O20" i="3"/>
  <c r="O4" i="3"/>
  <c r="O35" i="3"/>
  <c r="O18" i="3"/>
  <c r="O31" i="3"/>
  <c r="O17" i="3"/>
  <c r="O3" i="3"/>
  <c r="O14" i="3"/>
  <c r="O32" i="3"/>
  <c r="O30" i="3"/>
  <c r="O16" i="3"/>
  <c r="O2" i="3"/>
  <c r="O15" i="5"/>
  <c r="O28" i="5"/>
  <c r="O13" i="5"/>
  <c r="O12" i="5"/>
  <c r="O11" i="5"/>
  <c r="O10" i="5"/>
  <c r="O9" i="5"/>
  <c r="O8" i="5"/>
  <c r="O26" i="4"/>
  <c r="O14" i="4"/>
  <c r="O13" i="4"/>
  <c r="O11" i="4"/>
  <c r="O7" i="4"/>
  <c r="O5" i="4"/>
  <c r="O27" i="3"/>
  <c r="O15" i="3"/>
  <c r="O28" i="3"/>
  <c r="O13" i="3"/>
  <c r="O12" i="3"/>
  <c r="O11" i="3"/>
  <c r="O10" i="3"/>
  <c r="O23" i="3"/>
  <c r="O9" i="3"/>
  <c r="O22" i="3"/>
  <c r="O8" i="3"/>
  <c r="O25" i="3"/>
  <c r="O24" i="3"/>
  <c r="O7" i="3"/>
  <c r="O26" i="3"/>
  <c r="O15" i="2"/>
  <c r="O5" i="2"/>
  <c r="O30" i="2"/>
  <c r="O28" i="2"/>
  <c r="O35" i="2"/>
  <c r="O33" i="2"/>
  <c r="O13" i="2"/>
  <c r="O14" i="2"/>
  <c r="O31" i="2"/>
  <c r="O4" i="2"/>
  <c r="O27" i="2"/>
  <c r="O20" i="2"/>
  <c r="O34" i="2"/>
  <c r="O22" i="2"/>
  <c r="O25" i="2"/>
  <c r="O16" i="2"/>
  <c r="O29" i="2"/>
  <c r="O11" i="2"/>
  <c r="O8" i="2"/>
  <c r="O26" i="2"/>
  <c r="O7" i="2"/>
  <c r="O32" i="2"/>
  <c r="O24" i="2"/>
  <c r="O10" i="2"/>
  <c r="O23" i="2"/>
  <c r="O21" i="2"/>
  <c r="O6" i="2"/>
  <c r="O2" i="2"/>
  <c r="O18" i="2"/>
  <c r="O17" i="2"/>
  <c r="O12" i="2"/>
  <c r="O9" i="2"/>
  <c r="O3" i="2"/>
  <c r="C5" i="7"/>
  <c r="R16" i="6" a="1"/>
  <c r="C18" i="6"/>
  <c r="N5" i="7" a="1"/>
  <c r="C6" i="7"/>
  <c r="M5" i="7" a="1"/>
  <c r="O18" i="6" a="1"/>
  <c r="F6" i="7" a="1"/>
  <c r="I18" i="6" a="1"/>
  <c r="Q16" i="6" a="1"/>
  <c r="P6" i="7" a="1"/>
  <c r="C5" i="6"/>
  <c r="G16" i="6" a="1"/>
  <c r="L5" i="6" a="1"/>
  <c r="O5" i="7" a="1"/>
  <c r="E6" i="7" a="1"/>
  <c r="L5" i="7" a="1"/>
  <c r="C7" i="7"/>
  <c r="E5" i="6" a="1"/>
  <c r="F18" i="6" a="1"/>
  <c r="O7" i="7" a="1"/>
  <c r="C8" i="6"/>
  <c r="O6" i="7" a="1"/>
  <c r="C6" i="6"/>
  <c r="S16" i="6" a="1"/>
  <c r="I5" i="6" a="1"/>
  <c r="F8" i="6" a="1"/>
  <c r="P8" i="6" a="1"/>
  <c r="F6" i="6" a="1"/>
  <c r="E18" i="6" a="1"/>
  <c r="J6" i="7" a="1"/>
  <c r="L6" i="7" a="1"/>
  <c r="F7" i="7" a="1"/>
  <c r="P18" i="6" a="1"/>
  <c r="C15" i="6"/>
  <c r="K5" i="7" a="1"/>
  <c r="P7" i="7" a="1"/>
  <c r="E6" i="6" a="1"/>
  <c r="L6" i="6" a="1"/>
  <c r="K8" i="6" a="1"/>
  <c r="O5" i="6" a="1"/>
  <c r="K7" i="7" a="1"/>
  <c r="O6" i="6" a="1"/>
  <c r="C17" i="6"/>
  <c r="K6" i="7" a="1"/>
  <c r="I5" i="7" a="1"/>
  <c r="J18" i="6" a="1"/>
  <c r="L7" i="7" a="1"/>
  <c r="I17" i="6" a="1"/>
  <c r="L15" i="6" a="1"/>
  <c r="H16" i="6" a="1"/>
  <c r="F5" i="6" a="1"/>
  <c r="C8" i="7"/>
  <c r="C7" i="6"/>
  <c r="L8" i="6" a="1"/>
  <c r="F5" i="7" a="1"/>
  <c r="I8" i="6" a="1"/>
  <c r="K5" i="6" a="1"/>
  <c r="P15" i="6" a="1"/>
  <c r="P5" i="7" a="1"/>
  <c r="K18" i="6" a="1"/>
  <c r="E5" i="7" a="1"/>
  <c r="P6" i="6" a="1"/>
  <c r="I6" i="6" a="1"/>
  <c r="J5" i="7" a="1"/>
  <c r="M5" i="6" a="1"/>
  <c r="E15" i="6" a="1"/>
  <c r="J5" i="6" a="1"/>
  <c r="P5" i="6" a="1"/>
  <c r="N5" i="6" a="1"/>
  <c r="J7" i="7" a="1"/>
  <c r="E7" i="7" a="1"/>
  <c r="E8" i="6" a="1"/>
  <c r="O8" i="6" a="1"/>
  <c r="J8" i="6" a="1"/>
  <c r="E16" i="6" a="1"/>
  <c r="K6" i="6" a="1"/>
  <c r="J6" i="6" a="1"/>
  <c r="I15" i="6" a="1"/>
  <c r="O15" i="6" a="1"/>
  <c r="N15" i="6" a="1"/>
  <c r="K15" i="6" a="1"/>
  <c r="F15" i="6" a="1"/>
  <c r="M15" i="6" a="1"/>
  <c r="J15" i="6" a="1"/>
  <c r="F17" i="6" a="1"/>
  <c r="O17" i="6" a="1"/>
  <c r="J17" i="6" a="1"/>
  <c r="P17" i="6" a="1"/>
  <c r="L17" i="6" a="1"/>
  <c r="K17" i="6" a="1"/>
  <c r="K8" i="7" a="1"/>
  <c r="O8" i="7" a="1"/>
  <c r="J8" i="7" a="1"/>
  <c r="L8" i="7" a="1"/>
  <c r="E8" i="7" a="1"/>
  <c r="F8" i="7" a="1"/>
  <c r="P7" i="6" a="1"/>
  <c r="F7" i="6" a="1"/>
  <c r="I7" i="6" a="1"/>
  <c r="E7" i="6" a="1"/>
  <c r="O7" i="6" a="1"/>
  <c r="E17" i="6" a="1"/>
  <c r="L7" i="6" a="1"/>
  <c r="K7" i="6" a="1"/>
  <c r="T29" i="3" l="1"/>
  <c r="T17" i="4"/>
  <c r="T23" i="4"/>
  <c r="J6" i="7"/>
  <c r="K6" i="7"/>
  <c r="L6" i="7"/>
  <c r="O6" i="7"/>
  <c r="P6" i="7"/>
  <c r="J7" i="7"/>
  <c r="K7" i="7"/>
  <c r="L7" i="7"/>
  <c r="O7" i="7"/>
  <c r="P7" i="7"/>
  <c r="J8" i="7"/>
  <c r="K8" i="7"/>
  <c r="L8" i="7"/>
  <c r="O8" i="7"/>
  <c r="M6" i="7" a="1"/>
  <c r="M6" i="7" s="1"/>
  <c r="N6" i="7" a="1"/>
  <c r="N6" i="7" s="1"/>
  <c r="M7" i="7" a="1"/>
  <c r="M7" i="7" s="1"/>
  <c r="N7" i="7" a="1"/>
  <c r="N7" i="7" s="1"/>
  <c r="M8" i="7" a="1"/>
  <c r="M8" i="7" s="1"/>
  <c r="N8" i="7" a="1"/>
  <c r="N8" i="7" s="1"/>
  <c r="T28" i="3"/>
  <c r="T20" i="4"/>
  <c r="T8" i="3"/>
  <c r="T23" i="3"/>
  <c r="T25" i="3"/>
  <c r="T26" i="4"/>
  <c r="T13" i="4"/>
  <c r="T22" i="3"/>
  <c r="T30" i="3"/>
  <c r="T12" i="3"/>
  <c r="T27" i="3"/>
  <c r="T18" i="4"/>
  <c r="T35" i="3"/>
  <c r="T32" i="3"/>
  <c r="T10" i="4"/>
  <c r="T17" i="3"/>
  <c r="T18" i="3"/>
  <c r="T24" i="4"/>
  <c r="T21" i="3"/>
  <c r="T13" i="3"/>
  <c r="T3" i="4"/>
  <c r="T9" i="3"/>
  <c r="T16" i="3"/>
  <c r="T6" i="3"/>
  <c r="T24" i="3"/>
  <c r="T20" i="3"/>
  <c r="T15" i="3"/>
  <c r="T21" i="4"/>
  <c r="T7" i="3"/>
  <c r="T6" i="4"/>
  <c r="F8" i="7"/>
  <c r="E8" i="7"/>
  <c r="P5" i="5"/>
  <c r="P29" i="5"/>
  <c r="E7" i="7"/>
  <c r="F7" i="7"/>
  <c r="P24" i="4"/>
  <c r="T5" i="4"/>
  <c r="T25" i="4"/>
  <c r="T2" i="4"/>
  <c r="T9" i="4"/>
  <c r="T15" i="4"/>
  <c r="T12" i="4"/>
  <c r="P16" i="4"/>
  <c r="T4" i="4"/>
  <c r="T7" i="4"/>
  <c r="T8" i="4"/>
  <c r="T16" i="4"/>
  <c r="T14" i="4"/>
  <c r="T11" i="4"/>
  <c r="T27" i="4"/>
  <c r="T22" i="4"/>
  <c r="F6" i="7"/>
  <c r="E6" i="7"/>
  <c r="T5" i="3"/>
  <c r="T10" i="3"/>
  <c r="T11" i="3"/>
  <c r="T31" i="3"/>
  <c r="T34" i="3"/>
  <c r="T33" i="3"/>
  <c r="T26" i="3"/>
  <c r="T2" i="3"/>
  <c r="T4" i="3"/>
  <c r="T14" i="3"/>
  <c r="T3" i="3"/>
  <c r="K5" i="7"/>
  <c r="P5" i="7"/>
  <c r="N5" i="7"/>
  <c r="M5" i="7"/>
  <c r="E5" i="7"/>
  <c r="O5" i="7"/>
  <c r="J5" i="7"/>
  <c r="L5" i="7"/>
  <c r="F5" i="7"/>
  <c r="I5" i="7"/>
  <c r="P34" i="3"/>
  <c r="P24" i="3"/>
  <c r="P16" i="3"/>
  <c r="P13" i="2"/>
  <c r="P2" i="5"/>
  <c r="P21" i="5"/>
  <c r="P7" i="5"/>
  <c r="P8" i="5"/>
  <c r="P19" i="5"/>
  <c r="P9" i="5"/>
  <c r="P27" i="5"/>
  <c r="P14" i="5"/>
  <c r="P11" i="5"/>
  <c r="P12" i="5"/>
  <c r="P13" i="5"/>
  <c r="P16" i="5"/>
  <c r="P28" i="5"/>
  <c r="P30" i="5"/>
  <c r="P3" i="5"/>
  <c r="P17" i="5"/>
  <c r="P31" i="5"/>
  <c r="P23" i="5"/>
  <c r="P15" i="5"/>
  <c r="P6" i="5"/>
  <c r="P18" i="5"/>
  <c r="P25" i="5"/>
  <c r="P10" i="5"/>
  <c r="P20" i="5"/>
  <c r="P26" i="5"/>
  <c r="P22" i="5"/>
  <c r="P4" i="5"/>
  <c r="P24" i="5"/>
  <c r="P32" i="5"/>
  <c r="P17" i="4"/>
  <c r="P11" i="4"/>
  <c r="P18" i="4"/>
  <c r="P5" i="4"/>
  <c r="P14" i="4"/>
  <c r="P12" i="4"/>
  <c r="P20" i="4"/>
  <c r="P9" i="4"/>
  <c r="P22" i="4"/>
  <c r="P3" i="4"/>
  <c r="P7" i="4"/>
  <c r="P13" i="4"/>
  <c r="P8" i="4"/>
  <c r="P25" i="4"/>
  <c r="P26" i="4"/>
  <c r="P21" i="4"/>
  <c r="P10" i="4"/>
  <c r="P2" i="4"/>
  <c r="P15" i="4"/>
  <c r="P6" i="4"/>
  <c r="P23" i="4"/>
  <c r="P19" i="4"/>
  <c r="P4" i="4"/>
  <c r="P27" i="4"/>
  <c r="P6" i="3"/>
  <c r="P29" i="3"/>
  <c r="P31" i="3"/>
  <c r="P35" i="3"/>
  <c r="P25" i="3"/>
  <c r="P32" i="3"/>
  <c r="P9" i="3"/>
  <c r="P11" i="3"/>
  <c r="P4" i="3"/>
  <c r="P8" i="3"/>
  <c r="P3" i="3"/>
  <c r="P28" i="3"/>
  <c r="P20" i="3"/>
  <c r="P33" i="3"/>
  <c r="P30" i="3"/>
  <c r="P14" i="3"/>
  <c r="P17" i="3"/>
  <c r="P12" i="3"/>
  <c r="P21" i="3"/>
  <c r="P22" i="3"/>
  <c r="P23" i="3"/>
  <c r="P10" i="3"/>
  <c r="P18" i="3"/>
  <c r="P13" i="3"/>
  <c r="P15" i="3"/>
  <c r="P26" i="3"/>
  <c r="P27" i="3"/>
  <c r="P5" i="3"/>
  <c r="P7" i="3"/>
  <c r="P2" i="3"/>
  <c r="P19" i="3"/>
  <c r="P7" i="2"/>
  <c r="P8" i="2"/>
  <c r="P9" i="2"/>
  <c r="P18" i="2"/>
  <c r="P29" i="2"/>
  <c r="P34" i="2"/>
  <c r="P30" i="2"/>
  <c r="P20" i="2"/>
  <c r="P3" i="2"/>
  <c r="P17" i="2"/>
  <c r="P27" i="2"/>
  <c r="P12" i="2"/>
  <c r="P15" i="2"/>
  <c r="P19" i="2"/>
  <c r="P26" i="2"/>
  <c r="P11" i="2"/>
  <c r="P16" i="2"/>
  <c r="P2" i="2"/>
  <c r="P31" i="2"/>
  <c r="P33" i="2"/>
  <c r="P35" i="2"/>
  <c r="P28" i="2"/>
  <c r="P5" i="2"/>
  <c r="P25" i="2"/>
  <c r="P22" i="2"/>
  <c r="P6" i="2"/>
  <c r="P21" i="2"/>
  <c r="P23" i="2"/>
  <c r="P10" i="2"/>
  <c r="P4" i="2"/>
  <c r="P24" i="2"/>
  <c r="P32" i="2"/>
  <c r="P14" i="2"/>
  <c r="E16" i="6"/>
  <c r="E17" i="6"/>
  <c r="E18" i="6"/>
  <c r="E15" i="6"/>
  <c r="E6" i="6"/>
  <c r="E7" i="6"/>
  <c r="E8" i="6"/>
  <c r="E5" i="6"/>
  <c r="F5" i="6"/>
  <c r="F18" i="6"/>
  <c r="J18" i="6"/>
  <c r="O18" i="6"/>
  <c r="I18" i="6"/>
  <c r="P18" i="6"/>
  <c r="K18" i="6"/>
  <c r="P17" i="6"/>
  <c r="O17" i="6"/>
  <c r="L17" i="6"/>
  <c r="F17" i="6"/>
  <c r="K17" i="6"/>
  <c r="J17" i="6"/>
  <c r="I17" i="6"/>
  <c r="J15" i="6"/>
  <c r="P15" i="6"/>
  <c r="I15" i="6"/>
  <c r="O15" i="6"/>
  <c r="N15" i="6"/>
  <c r="M15" i="6"/>
  <c r="F15" i="6"/>
  <c r="L15" i="6"/>
  <c r="K15" i="6"/>
  <c r="M16" i="6" a="1"/>
  <c r="M16" i="6" s="1"/>
  <c r="M18" i="6" a="1"/>
  <c r="M18" i="6" s="1"/>
  <c r="N17" i="6" a="1"/>
  <c r="N17" i="6" s="1"/>
  <c r="N16" i="6" a="1"/>
  <c r="N16" i="6" s="1"/>
  <c r="N18" i="6" a="1"/>
  <c r="N18" i="6" s="1"/>
  <c r="M17" i="6" a="1"/>
  <c r="M17" i="6" s="1"/>
  <c r="H16" i="6"/>
  <c r="R16" i="6"/>
  <c r="G16" i="6"/>
  <c r="Q16" i="6"/>
  <c r="S16" i="6"/>
  <c r="O6" i="6"/>
  <c r="O7" i="6"/>
  <c r="O8" i="6"/>
  <c r="P6" i="6"/>
  <c r="P7" i="6"/>
  <c r="P8" i="6"/>
  <c r="P5" i="6"/>
  <c r="N5" i="6"/>
  <c r="O5" i="6"/>
  <c r="M5" i="6"/>
  <c r="L5" i="6"/>
  <c r="N6" i="6" a="1"/>
  <c r="N6" i="6" s="1"/>
  <c r="N7" i="6" a="1"/>
  <c r="N7" i="6" s="1"/>
  <c r="N8" i="6" a="1"/>
  <c r="N8" i="6" s="1"/>
  <c r="M6" i="6" a="1"/>
  <c r="M6" i="6" s="1"/>
  <c r="M8" i="6" a="1"/>
  <c r="M8" i="6" s="1"/>
  <c r="M7" i="6" a="1"/>
  <c r="M7" i="6" s="1"/>
  <c r="L6" i="6"/>
  <c r="L7" i="6"/>
  <c r="L8" i="6"/>
  <c r="K6" i="6"/>
  <c r="K7" i="6"/>
  <c r="K8" i="6"/>
  <c r="J6" i="6"/>
  <c r="J8" i="6"/>
  <c r="I6" i="6"/>
  <c r="I7" i="6"/>
  <c r="I8" i="6"/>
  <c r="F8" i="6"/>
  <c r="F7" i="6"/>
  <c r="I5" i="6"/>
  <c r="J5" i="6"/>
  <c r="K5" i="6"/>
  <c r="F6" i="6"/>
  <c r="P8" i="7" a="1"/>
  <c r="C43" i="6"/>
  <c r="S6" i="6" a="1"/>
  <c r="G8" i="6" a="1"/>
  <c r="P43" i="6" a="1"/>
  <c r="G7" i="7" a="1"/>
  <c r="R5" i="6" a="1"/>
  <c r="Q7" i="7" a="1"/>
  <c r="R6" i="6" a="1"/>
  <c r="C34" i="6"/>
  <c r="C27" i="6"/>
  <c r="I27" i="6" s="1" a="1"/>
  <c r="G7" i="6" a="1"/>
  <c r="C25" i="6"/>
  <c r="F25" i="6" s="1" a="1"/>
  <c r="Q6" i="6" a="1"/>
  <c r="L18" i="6" a="1"/>
  <c r="G15" i="6" a="1"/>
  <c r="C42" i="6"/>
  <c r="M42" i="6" a="1"/>
  <c r="I6" i="7" a="1"/>
  <c r="Q15" i="6" a="1"/>
  <c r="G6" i="6" a="1"/>
  <c r="J42" i="6" a="1"/>
  <c r="P25" i="6" a="1"/>
  <c r="L34" i="6" a="1"/>
  <c r="C26" i="6"/>
  <c r="F26" i="6" a="1"/>
  <c r="N43" i="6" a="1"/>
  <c r="C33" i="6"/>
  <c r="C41" i="6"/>
  <c r="I41" i="6" s="1" a="1"/>
  <c r="M27" i="6" a="1"/>
  <c r="L33" i="6" a="1"/>
  <c r="C50" i="6"/>
  <c r="L42" i="6" a="1"/>
  <c r="K43" i="6" a="1"/>
  <c r="C48" i="6"/>
  <c r="K25" i="6" a="1"/>
  <c r="J43" i="6" a="1"/>
  <c r="N48" i="6" a="1"/>
  <c r="S6" i="7" a="1"/>
  <c r="S7" i="6" a="1"/>
  <c r="F41" i="6" a="1"/>
  <c r="N42" i="6" a="1"/>
  <c r="N25" i="6" a="1"/>
  <c r="P33" i="6" a="1"/>
  <c r="H5" i="7" a="1"/>
  <c r="H18" i="6" a="1"/>
  <c r="I7" i="7" a="1"/>
  <c r="N50" i="6" a="1"/>
  <c r="G5" i="6" a="1"/>
  <c r="Q6" i="7" a="1"/>
  <c r="C52" i="6"/>
  <c r="I25" i="6" a="1"/>
  <c r="O48" i="6" a="1"/>
  <c r="P42" i="6" a="1"/>
  <c r="O50" i="6" a="1"/>
  <c r="R7" i="7" a="1"/>
  <c r="N26" i="6" a="1"/>
  <c r="K34" i="6" a="1"/>
  <c r="I42" i="6" a="1"/>
  <c r="P27" i="6" a="1"/>
  <c r="J27" i="6" a="1"/>
  <c r="J33" i="6" a="1"/>
  <c r="R17" i="6" a="1"/>
  <c r="R6" i="7" a="1"/>
  <c r="L52" i="6" a="1"/>
  <c r="C40" i="6"/>
  <c r="C44" i="6"/>
  <c r="I26" i="6" a="1"/>
  <c r="I40" i="6" a="1"/>
  <c r="R5" i="7" a="1"/>
  <c r="H7" i="7" a="1"/>
  <c r="G8" i="7" a="1"/>
  <c r="Q8" i="6" a="1"/>
  <c r="I48" i="6" a="1"/>
  <c r="K41" i="6" a="1"/>
  <c r="K33" i="6" a="1"/>
  <c r="S18" i="6" a="1"/>
  <c r="H15" i="6" a="1"/>
  <c r="F40" i="6" a="1"/>
  <c r="O41" i="6" a="1"/>
  <c r="P26" i="6" a="1"/>
  <c r="I44" i="6" a="1"/>
  <c r="Q5" i="6" a="1"/>
  <c r="O27" i="6" a="1"/>
  <c r="R7" i="6" a="1"/>
  <c r="O52" i="6" a="1"/>
  <c r="C32" i="6"/>
  <c r="H8" i="6" a="1"/>
  <c r="H6" i="6" a="1"/>
  <c r="C36" i="6"/>
  <c r="L44" i="6" a="1"/>
  <c r="M25" i="6" a="1"/>
  <c r="G6" i="7" a="1"/>
  <c r="F34" i="6" a="1"/>
  <c r="S5" i="7" a="1"/>
  <c r="S5" i="6" a="1"/>
  <c r="I34" i="6" a="1"/>
  <c r="Q8" i="7" a="1"/>
  <c r="Q18" i="6" a="1"/>
  <c r="P40" i="6" a="1"/>
  <c r="Q5" i="7" a="1"/>
  <c r="G18" i="6" a="1"/>
  <c r="S7" i="7" a="1"/>
  <c r="P34" i="6" a="1"/>
  <c r="S8" i="6" a="1"/>
  <c r="H7" i="6" a="1"/>
  <c r="J52" i="6" a="1"/>
  <c r="C49" i="6"/>
  <c r="M43" i="6" a="1"/>
  <c r="C51" i="6"/>
  <c r="P50" i="6" a="1"/>
  <c r="O49" i="6" a="1"/>
  <c r="L41" i="6" a="1"/>
  <c r="F27" i="6" a="1"/>
  <c r="C35" i="6"/>
  <c r="F48" i="6" a="1"/>
  <c r="P41" i="6" a="1"/>
  <c r="F49" i="6" a="1"/>
  <c r="K51" i="6" a="1"/>
  <c r="P32" i="6" a="1"/>
  <c r="F33" i="6" a="1"/>
  <c r="J35" i="6" a="1"/>
  <c r="J7" i="6" a="1"/>
  <c r="I43" i="6" a="1"/>
  <c r="K48" i="6" a="1"/>
  <c r="S17" i="6" a="1"/>
  <c r="P49" i="6" a="1"/>
  <c r="N49" i="6" a="1"/>
  <c r="S15" i="6" a="1"/>
  <c r="M51" i="6" a="1"/>
  <c r="H5" i="6" a="1"/>
  <c r="O25" i="6" a="1"/>
  <c r="H17" i="6" a="1"/>
  <c r="L26" i="6" a="1"/>
  <c r="N41" i="6" a="1"/>
  <c r="F44" i="6" a="1"/>
  <c r="L51" i="6" a="1"/>
  <c r="F32" i="6" a="1"/>
  <c r="M33" i="6" a="1"/>
  <c r="M35" i="6" a="1"/>
  <c r="R15" i="6" a="1"/>
  <c r="R8" i="7" a="1"/>
  <c r="J49" i="6" a="1"/>
  <c r="R18" i="6" a="1"/>
  <c r="P48" i="6" a="1"/>
  <c r="K50" i="6" a="1"/>
  <c r="K32" i="6" a="1"/>
  <c r="L35" i="6" a="1"/>
  <c r="Q17" i="6" a="1"/>
  <c r="I8" i="7" a="1"/>
  <c r="C28" i="6"/>
  <c r="F52" i="6" a="1"/>
  <c r="I49" i="6" a="1"/>
  <c r="Q7" i="6" a="1"/>
  <c r="M41" i="6" a="1"/>
  <c r="P44" i="6" a="1"/>
  <c r="N52" i="6" a="1"/>
  <c r="G17" i="6" a="1"/>
  <c r="J34" i="6" a="1"/>
  <c r="G5" i="7" a="1"/>
  <c r="L25" i="6" a="1"/>
  <c r="H6" i="7" a="1"/>
  <c r="O43" i="6" a="1"/>
  <c r="H8" i="7" a="1"/>
  <c r="L43" i="6" a="1"/>
  <c r="N36" i="6" a="1"/>
  <c r="L49" i="6" a="1"/>
  <c r="R8" i="6" a="1"/>
  <c r="J26" i="6" a="1"/>
  <c r="P51" i="6" a="1"/>
  <c r="S8" i="7" a="1"/>
  <c r="C24" i="6"/>
  <c r="J41" i="6" a="1"/>
  <c r="K27" i="6" a="1"/>
  <c r="M50" i="6" a="1"/>
  <c r="N28" i="6" a="1"/>
  <c r="N34" i="6" a="1"/>
  <c r="N33" i="6" a="1"/>
  <c r="K24" i="6" a="1"/>
  <c r="L48" i="6" a="1"/>
  <c r="J25" i="6" a="1"/>
  <c r="N27" i="6" a="1"/>
  <c r="O26" i="6" a="1"/>
  <c r="L27" i="6" a="1"/>
  <c r="O34" i="6" a="1"/>
  <c r="M34" i="6" a="1"/>
  <c r="K42" i="6" a="1"/>
  <c r="O42" i="6" a="1"/>
  <c r="F42" i="6" a="1"/>
  <c r="K26" i="6" a="1"/>
  <c r="M26" i="6" a="1"/>
  <c r="I33" i="6" a="1"/>
  <c r="O33" i="6" a="1"/>
  <c r="F50" i="6" a="1"/>
  <c r="J50" i="6" a="1"/>
  <c r="L50" i="6" a="1"/>
  <c r="I50" i="6" a="1"/>
  <c r="J48" i="6" a="1"/>
  <c r="M48" i="6" a="1"/>
  <c r="K52" i="6" a="1"/>
  <c r="I52" i="6" a="1"/>
  <c r="M52" i="6" a="1"/>
  <c r="N40" i="6" a="1"/>
  <c r="J40" i="6" a="1"/>
  <c r="L40" i="6" a="1"/>
  <c r="M40" i="6" a="1"/>
  <c r="O40" i="6" a="1"/>
  <c r="K40" i="6" a="1"/>
  <c r="K44" i="6" a="1"/>
  <c r="N44" i="6" a="1"/>
  <c r="J44" i="6" a="1"/>
  <c r="M44" i="6" a="1"/>
  <c r="O44" i="6" a="1"/>
  <c r="L32" i="6" a="1"/>
  <c r="I32" i="6" a="1"/>
  <c r="M32" i="6" a="1"/>
  <c r="N32" i="6" a="1"/>
  <c r="O32" i="6" a="1"/>
  <c r="J32" i="6" a="1"/>
  <c r="J36" i="6" a="1"/>
  <c r="P36" i="6" a="1"/>
  <c r="K36" i="6" a="1"/>
  <c r="F36" i="6" a="1"/>
  <c r="L36" i="6" a="1"/>
  <c r="O36" i="6" a="1"/>
  <c r="M36" i="6" a="1"/>
  <c r="I36" i="6" a="1"/>
  <c r="K49" i="6" a="1"/>
  <c r="M49" i="6" a="1"/>
  <c r="O51" i="6" a="1"/>
  <c r="I51" i="6" a="1"/>
  <c r="F51" i="6" a="1"/>
  <c r="J51" i="6" a="1"/>
  <c r="N51" i="6" a="1"/>
  <c r="F35" i="6" a="1"/>
  <c r="O35" i="6" a="1"/>
  <c r="N35" i="6" a="1"/>
  <c r="P35" i="6" a="1"/>
  <c r="K35" i="6" a="1"/>
  <c r="I35" i="6" a="1"/>
  <c r="P28" i="6" a="1"/>
  <c r="O28" i="6" a="1"/>
  <c r="M28" i="6" a="1"/>
  <c r="F28" i="6" a="1"/>
  <c r="J28" i="6" a="1"/>
  <c r="K28" i="6" a="1"/>
  <c r="L28" i="6" a="1"/>
  <c r="I28" i="6" a="1"/>
  <c r="L24" i="6" a="1"/>
  <c r="O24" i="6" a="1"/>
  <c r="J24" i="6" a="1"/>
  <c r="M24" i="6" a="1"/>
  <c r="I24" i="6" a="1"/>
  <c r="P24" i="6" a="1"/>
  <c r="F24" i="6" a="1"/>
  <c r="N24" i="6" a="1"/>
  <c r="L18" i="6" l="1"/>
  <c r="L19" i="6" s="1"/>
  <c r="P8" i="7"/>
  <c r="J7" i="6"/>
  <c r="J9" i="6" s="1"/>
  <c r="H7" i="7"/>
  <c r="Q5" i="7"/>
  <c r="Q7" i="7"/>
  <c r="R5" i="7"/>
  <c r="R7" i="7"/>
  <c r="H6" i="7"/>
  <c r="Q17" i="6"/>
  <c r="S7" i="7"/>
  <c r="G6" i="7"/>
  <c r="Q6" i="7"/>
  <c r="G17" i="6"/>
  <c r="I7" i="7"/>
  <c r="R6" i="7"/>
  <c r="G7" i="7"/>
  <c r="S17" i="6"/>
  <c r="Q15" i="6"/>
  <c r="S6" i="7"/>
  <c r="H17" i="6"/>
  <c r="S15" i="6"/>
  <c r="I6" i="7"/>
  <c r="S8" i="7"/>
  <c r="G15" i="6"/>
  <c r="H18" i="6"/>
  <c r="G5" i="7"/>
  <c r="G8" i="7"/>
  <c r="H15" i="6"/>
  <c r="R18" i="6"/>
  <c r="H8" i="7"/>
  <c r="R15" i="6"/>
  <c r="S18" i="6"/>
  <c r="Q8" i="7"/>
  <c r="S5" i="7"/>
  <c r="G18" i="6"/>
  <c r="I8" i="7"/>
  <c r="R17" i="6"/>
  <c r="R8" i="7"/>
  <c r="H5" i="7"/>
  <c r="Q18" i="6"/>
  <c r="P9" i="7"/>
  <c r="I48" i="6"/>
  <c r="N48" i="6"/>
  <c r="K48" i="6"/>
  <c r="J48" i="6"/>
  <c r="M48" i="6"/>
  <c r="F48" i="6"/>
  <c r="L48" i="6"/>
  <c r="P48" i="6"/>
  <c r="O48" i="6"/>
  <c r="F49" i="6"/>
  <c r="K49" i="6"/>
  <c r="P49" i="6"/>
  <c r="I49" i="6"/>
  <c r="O49" i="6"/>
  <c r="N49" i="6"/>
  <c r="L49" i="6"/>
  <c r="M49" i="6"/>
  <c r="J49" i="6"/>
  <c r="O52" i="6"/>
  <c r="F52" i="6"/>
  <c r="N52" i="6"/>
  <c r="I52" i="6"/>
  <c r="J52" i="6"/>
  <c r="K52" i="6"/>
  <c r="L52" i="6"/>
  <c r="M52" i="6"/>
  <c r="K51" i="6"/>
  <c r="L51" i="6"/>
  <c r="F51" i="6"/>
  <c r="M51" i="6"/>
  <c r="P51" i="6"/>
  <c r="J51" i="6"/>
  <c r="O51" i="6"/>
  <c r="I51" i="6"/>
  <c r="N51" i="6"/>
  <c r="L50" i="6"/>
  <c r="I50" i="6"/>
  <c r="J50" i="6"/>
  <c r="K50" i="6"/>
  <c r="F50" i="6"/>
  <c r="O50" i="6"/>
  <c r="P50" i="6"/>
  <c r="M50" i="6"/>
  <c r="N50" i="6"/>
  <c r="O9" i="7"/>
  <c r="K40" i="6"/>
  <c r="J40" i="6"/>
  <c r="P40" i="6"/>
  <c r="I40" i="6"/>
  <c r="O40" i="6"/>
  <c r="N40" i="6"/>
  <c r="M40" i="6"/>
  <c r="L40" i="6"/>
  <c r="F40" i="6"/>
  <c r="K44" i="6"/>
  <c r="J44" i="6"/>
  <c r="P44" i="6"/>
  <c r="O44" i="6"/>
  <c r="I44" i="6"/>
  <c r="N44" i="6"/>
  <c r="M44" i="6"/>
  <c r="F44" i="6"/>
  <c r="L44" i="6"/>
  <c r="K43" i="6"/>
  <c r="J43" i="6"/>
  <c r="P43" i="6"/>
  <c r="O43" i="6"/>
  <c r="I43" i="6"/>
  <c r="L43" i="6"/>
  <c r="M43" i="6"/>
  <c r="N43" i="6"/>
  <c r="P42" i="6"/>
  <c r="K42" i="6"/>
  <c r="J42" i="6"/>
  <c r="I42" i="6"/>
  <c r="L42" i="6"/>
  <c r="F42" i="6"/>
  <c r="M42" i="6"/>
  <c r="N42" i="6"/>
  <c r="O42" i="6"/>
  <c r="K41" i="6"/>
  <c r="L41" i="6"/>
  <c r="M41" i="6"/>
  <c r="F41" i="6"/>
  <c r="N41" i="6"/>
  <c r="O41" i="6"/>
  <c r="I41" i="6"/>
  <c r="P41" i="6"/>
  <c r="J41" i="6"/>
  <c r="L9" i="7"/>
  <c r="J9" i="7"/>
  <c r="K9" i="7"/>
  <c r="M9" i="7"/>
  <c r="N9" i="7"/>
  <c r="M36" i="6"/>
  <c r="K36" i="6"/>
  <c r="L36" i="6"/>
  <c r="F36" i="6"/>
  <c r="N36" i="6"/>
  <c r="O36" i="6"/>
  <c r="J36" i="6"/>
  <c r="P36" i="6"/>
  <c r="I36" i="6"/>
  <c r="F34" i="6"/>
  <c r="M34" i="6"/>
  <c r="N34" i="6"/>
  <c r="O34" i="6"/>
  <c r="I34" i="6"/>
  <c r="P34" i="6"/>
  <c r="J34" i="6"/>
  <c r="K34" i="6"/>
  <c r="L34" i="6"/>
  <c r="L35" i="6"/>
  <c r="F35" i="6"/>
  <c r="M35" i="6"/>
  <c r="N35" i="6"/>
  <c r="O35" i="6"/>
  <c r="I35" i="6"/>
  <c r="P35" i="6"/>
  <c r="J35" i="6"/>
  <c r="K35" i="6"/>
  <c r="L33" i="6"/>
  <c r="F33" i="6"/>
  <c r="M33" i="6"/>
  <c r="K33" i="6"/>
  <c r="J33" i="6"/>
  <c r="P33" i="6"/>
  <c r="I33" i="6"/>
  <c r="O33" i="6"/>
  <c r="N33" i="6"/>
  <c r="K32" i="6"/>
  <c r="J32" i="6"/>
  <c r="P32" i="6"/>
  <c r="I32" i="6"/>
  <c r="O32" i="6"/>
  <c r="N32" i="6"/>
  <c r="M32" i="6"/>
  <c r="F32" i="6"/>
  <c r="L32" i="6"/>
  <c r="N28" i="6"/>
  <c r="I28" i="6"/>
  <c r="J28" i="6"/>
  <c r="F28" i="6"/>
  <c r="O28" i="6"/>
  <c r="P28" i="6"/>
  <c r="K28" i="6"/>
  <c r="M28" i="6"/>
  <c r="L28" i="6"/>
  <c r="F27" i="6"/>
  <c r="P27" i="6"/>
  <c r="I27" i="6"/>
  <c r="O27" i="6"/>
  <c r="K27" i="6"/>
  <c r="M27" i="6"/>
  <c r="L27" i="6"/>
  <c r="J27" i="6"/>
  <c r="N27" i="6"/>
  <c r="F26" i="6"/>
  <c r="P26" i="6"/>
  <c r="M26" i="6"/>
  <c r="J26" i="6"/>
  <c r="I26" i="6"/>
  <c r="O26" i="6"/>
  <c r="L26" i="6"/>
  <c r="K26" i="6"/>
  <c r="N26" i="6"/>
  <c r="F25" i="6"/>
  <c r="L25" i="6"/>
  <c r="K25" i="6"/>
  <c r="P25" i="6"/>
  <c r="I25" i="6"/>
  <c r="O25" i="6"/>
  <c r="M25" i="6"/>
  <c r="J25" i="6"/>
  <c r="N25" i="6"/>
  <c r="H5" i="6"/>
  <c r="L24" i="6"/>
  <c r="K24" i="6"/>
  <c r="J24" i="6"/>
  <c r="P24" i="6"/>
  <c r="I24" i="6"/>
  <c r="O24" i="6"/>
  <c r="N24" i="6"/>
  <c r="M24" i="6"/>
  <c r="F24" i="6"/>
  <c r="K19" i="6"/>
  <c r="O19" i="6"/>
  <c r="I19" i="6"/>
  <c r="P19" i="6"/>
  <c r="J19" i="6"/>
  <c r="N19" i="6"/>
  <c r="M19" i="6"/>
  <c r="M9" i="6"/>
  <c r="L9" i="6"/>
  <c r="O9" i="6"/>
  <c r="N9" i="6"/>
  <c r="K9" i="6"/>
  <c r="P9" i="6"/>
  <c r="I9" i="6"/>
  <c r="G7" i="6"/>
  <c r="G8" i="6"/>
  <c r="G6" i="6"/>
  <c r="G5" i="6"/>
  <c r="H6" i="6"/>
  <c r="H7" i="6"/>
  <c r="H8" i="6"/>
  <c r="S8" i="6"/>
  <c r="S7" i="6"/>
  <c r="S6" i="6"/>
  <c r="R7" i="6"/>
  <c r="R8" i="6"/>
  <c r="R6" i="6"/>
  <c r="Q6" i="6"/>
  <c r="Q8" i="6"/>
  <c r="Q7" i="6"/>
  <c r="Q5" i="6"/>
  <c r="S5" i="6"/>
  <c r="R5" i="6"/>
  <c r="P52" i="6" a="1"/>
  <c r="R51" i="6" a="1"/>
  <c r="E41" i="6" a="1"/>
  <c r="Q41" i="6" a="1"/>
  <c r="G28" i="6" a="1"/>
  <c r="S42" i="6" a="1"/>
  <c r="E44" i="6" a="1"/>
  <c r="G41" i="6" a="1"/>
  <c r="R44" i="6" a="1"/>
  <c r="R48" i="6" a="1"/>
  <c r="R40" i="6" a="1"/>
  <c r="Q51" i="6" a="1"/>
  <c r="H43" i="6" a="1"/>
  <c r="E25" i="6" a="1"/>
  <c r="R42" i="6" a="1"/>
  <c r="Q26" i="6" a="1"/>
  <c r="G50" i="6" a="1"/>
  <c r="F43" i="6" a="1"/>
  <c r="G24" i="6" a="1"/>
  <c r="R43" i="6" a="1"/>
  <c r="E42" i="6" a="1"/>
  <c r="E28" i="6" a="1"/>
  <c r="S32" i="6" a="1"/>
  <c r="G51" i="6" a="1"/>
  <c r="Q36" i="6" a="1"/>
  <c r="E51" i="6" a="1"/>
  <c r="H48" i="6" a="1"/>
  <c r="E35" i="6" a="1"/>
  <c r="E26" i="6" a="1"/>
  <c r="H42" i="6" a="1"/>
  <c r="G32" i="6" a="1"/>
  <c r="S50" i="6" a="1"/>
  <c r="E52" i="6" a="1"/>
  <c r="G27" i="6" a="1"/>
  <c r="H35" i="6" a="1"/>
  <c r="S44" i="6" a="1"/>
  <c r="H49" i="6" a="1"/>
  <c r="R26" i="6" a="1"/>
  <c r="R24" i="6" a="1"/>
  <c r="S51" i="6" a="1"/>
  <c r="Q40" i="6" a="1"/>
  <c r="Q43" i="6" a="1"/>
  <c r="H41" i="6" a="1"/>
  <c r="S40" i="6" a="1"/>
  <c r="G26" i="6" a="1"/>
  <c r="E43" i="6" a="1"/>
  <c r="R49" i="6" a="1"/>
  <c r="R32" i="6" a="1"/>
  <c r="Q35" i="6" a="1"/>
  <c r="Q44" i="6" a="1"/>
  <c r="G52" i="6" a="1"/>
  <c r="G48" i="6" a="1"/>
  <c r="S24" i="6" a="1"/>
  <c r="Q52" i="6" a="1"/>
  <c r="S34" i="6" a="1"/>
  <c r="S28" i="6" a="1"/>
  <c r="G49" i="6" a="1"/>
  <c r="S35" i="6" a="1"/>
  <c r="R34" i="6" a="1"/>
  <c r="Q34" i="6" a="1"/>
  <c r="S25" i="6" a="1"/>
  <c r="H25" i="6" a="1"/>
  <c r="H50" i="6" a="1"/>
  <c r="E32" i="6" a="1"/>
  <c r="E36" i="6" a="1"/>
  <c r="G35" i="6" a="1"/>
  <c r="H28" i="6" a="1"/>
  <c r="E27" i="6" a="1"/>
  <c r="G34" i="6" a="1"/>
  <c r="R36" i="6" a="1"/>
  <c r="S27" i="6" a="1"/>
  <c r="S26" i="6" a="1"/>
  <c r="E33" i="6" a="1"/>
  <c r="S33" i="6" a="1"/>
  <c r="Q24" i="6" a="1"/>
  <c r="H32" i="6" a="1"/>
  <c r="H24" i="6" a="1"/>
  <c r="Q33" i="6" a="1"/>
  <c r="G25" i="6" a="1"/>
  <c r="S49" i="6" a="1"/>
  <c r="Q32" i="6" a="1"/>
  <c r="G36" i="6" a="1"/>
  <c r="R25" i="6" a="1"/>
  <c r="H33" i="6" a="1"/>
  <c r="Q28" i="6" a="1"/>
  <c r="S43" i="6" a="1"/>
  <c r="R52" i="6" a="1"/>
  <c r="Q48" i="6" a="1"/>
  <c r="H26" i="6" a="1"/>
  <c r="Q50" i="6" a="1"/>
  <c r="G33" i="6" a="1"/>
  <c r="G44" i="6" a="1"/>
  <c r="E50" i="6" a="1"/>
  <c r="G42" i="6" a="1"/>
  <c r="R35" i="6" a="1"/>
  <c r="H44" i="6" a="1"/>
  <c r="E49" i="6" a="1"/>
  <c r="S41" i="6" a="1"/>
  <c r="E34" i="6" a="1"/>
  <c r="S36" i="6" a="1"/>
  <c r="E24" i="6" a="1"/>
  <c r="H36" i="6" a="1"/>
  <c r="R41" i="6" a="1"/>
  <c r="R27" i="6" a="1"/>
  <c r="R33" i="6" a="1"/>
  <c r="R28" i="6" a="1"/>
  <c r="S48" i="6" a="1"/>
  <c r="G43" i="6" a="1"/>
  <c r="Q49" i="6" a="1"/>
  <c r="H27" i="6" a="1"/>
  <c r="R50" i="6" a="1"/>
  <c r="E48" i="6" a="1"/>
  <c r="G40" i="6" a="1"/>
  <c r="H52" i="6" a="1"/>
  <c r="Q42" i="6" a="1"/>
  <c r="H40" i="6" a="1"/>
  <c r="E40" i="6" a="1"/>
  <c r="S52" i="6" a="1"/>
  <c r="H34" i="6" a="1"/>
  <c r="Q27" i="6" a="1"/>
  <c r="H51" i="6" a="1"/>
  <c r="Q25" i="6" a="1"/>
  <c r="F43" i="6" l="1"/>
  <c r="P52" i="6"/>
  <c r="I9" i="7"/>
  <c r="H19" i="6"/>
  <c r="R9" i="7"/>
  <c r="Q19" i="6"/>
  <c r="R19" i="6"/>
  <c r="H9" i="7"/>
  <c r="S19" i="6"/>
  <c r="S9" i="7"/>
  <c r="G19" i="6"/>
  <c r="G9" i="7"/>
  <c r="Q9" i="7"/>
  <c r="H43" i="6"/>
  <c r="G32" i="6"/>
  <c r="E42" i="6"/>
  <c r="S34" i="6"/>
  <c r="S33" i="6"/>
  <c r="S27" i="6"/>
  <c r="G43" i="6"/>
  <c r="E32" i="6"/>
  <c r="R42" i="6"/>
  <c r="E36" i="6"/>
  <c r="G34" i="6"/>
  <c r="E33" i="6"/>
  <c r="G27" i="6"/>
  <c r="S43" i="6"/>
  <c r="E44" i="6"/>
  <c r="R32" i="6"/>
  <c r="Q42" i="6"/>
  <c r="R36" i="6"/>
  <c r="Q33" i="6"/>
  <c r="Q27" i="6"/>
  <c r="R48" i="6"/>
  <c r="S41" i="6"/>
  <c r="R43" i="6"/>
  <c r="R44" i="6"/>
  <c r="Q40" i="6"/>
  <c r="H32" i="6"/>
  <c r="Q36" i="6"/>
  <c r="H33" i="6"/>
  <c r="H27" i="6"/>
  <c r="Q48" i="6"/>
  <c r="Q41" i="6"/>
  <c r="E43" i="6"/>
  <c r="Q44" i="6"/>
  <c r="H40" i="6"/>
  <c r="Q49" i="6"/>
  <c r="G36" i="6"/>
  <c r="R27" i="6"/>
  <c r="E48" i="6"/>
  <c r="E41" i="6"/>
  <c r="H44" i="6"/>
  <c r="E40" i="6"/>
  <c r="G49" i="6"/>
  <c r="S36" i="6"/>
  <c r="E27" i="6"/>
  <c r="S48" i="6"/>
  <c r="H41" i="6"/>
  <c r="R24" i="6"/>
  <c r="S44" i="6"/>
  <c r="G40" i="6"/>
  <c r="H49" i="6"/>
  <c r="H35" i="6"/>
  <c r="H36" i="6"/>
  <c r="H50" i="6"/>
  <c r="G48" i="6"/>
  <c r="G41" i="6"/>
  <c r="Q24" i="6"/>
  <c r="G44" i="6"/>
  <c r="S40" i="6"/>
  <c r="E49" i="6"/>
  <c r="E35" i="6"/>
  <c r="S50" i="6"/>
  <c r="H48" i="6"/>
  <c r="R41" i="6"/>
  <c r="H24" i="6"/>
  <c r="E51" i="6"/>
  <c r="R40" i="6"/>
  <c r="S49" i="6"/>
  <c r="Q35" i="6"/>
  <c r="R50" i="6"/>
  <c r="G52" i="6"/>
  <c r="Q25" i="6"/>
  <c r="Q28" i="6"/>
  <c r="H26" i="6"/>
  <c r="G24" i="6"/>
  <c r="Q51" i="6"/>
  <c r="R49" i="6"/>
  <c r="R35" i="6"/>
  <c r="Q50" i="6"/>
  <c r="R52" i="6"/>
  <c r="S25" i="6"/>
  <c r="S28" i="6"/>
  <c r="S26" i="6"/>
  <c r="E24" i="6"/>
  <c r="S51" i="6"/>
  <c r="G35" i="6"/>
  <c r="R34" i="6"/>
  <c r="G50" i="6"/>
  <c r="H52" i="6"/>
  <c r="G25" i="6"/>
  <c r="G28" i="6"/>
  <c r="G26" i="6"/>
  <c r="S24" i="6"/>
  <c r="H51" i="6"/>
  <c r="G42" i="6"/>
  <c r="S35" i="6"/>
  <c r="H34" i="6"/>
  <c r="E50" i="6"/>
  <c r="E52" i="6"/>
  <c r="H25" i="6"/>
  <c r="E28" i="6"/>
  <c r="Q26" i="6"/>
  <c r="R51" i="6"/>
  <c r="S32" i="6"/>
  <c r="S42" i="6"/>
  <c r="E34" i="6"/>
  <c r="G33" i="6"/>
  <c r="S52" i="6"/>
  <c r="R25" i="6"/>
  <c r="R28" i="6"/>
  <c r="R26" i="6"/>
  <c r="Q43" i="6"/>
  <c r="G51" i="6"/>
  <c r="Q32" i="6"/>
  <c r="H42" i="6"/>
  <c r="Q34" i="6"/>
  <c r="R33" i="6"/>
  <c r="Q52" i="6"/>
  <c r="E25" i="6"/>
  <c r="H28" i="6"/>
  <c r="E26" i="6"/>
  <c r="G9" i="6"/>
  <c r="Q9" i="6"/>
  <c r="S9" i="6"/>
  <c r="R9" i="6"/>
  <c r="H9"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<sst xmlns="http://schemas.openxmlformats.org/spreadsheetml/2006/main" count="542" uniqueCount="256">
  <si>
    <t>Physical</t>
  </si>
  <si>
    <t>Blunt</t>
  </si>
  <si>
    <t>Thrust</t>
  </si>
  <si>
    <t>Blood</t>
  </si>
  <si>
    <t>Arcane</t>
  </si>
  <si>
    <t>Fire</t>
  </si>
  <si>
    <t>Bolt</t>
  </si>
  <si>
    <t>Slow
Poison</t>
  </si>
  <si>
    <t>Rapid
Poison</t>
  </si>
  <si>
    <t>Frenzy</t>
  </si>
  <si>
    <t>Beasthood</t>
  </si>
  <si>
    <t>Stat type</t>
  </si>
  <si>
    <t>Weight</t>
  </si>
  <si>
    <t>Beak Mask</t>
  </si>
  <si>
    <t>Black Church Hat</t>
  </si>
  <si>
    <t>Black Hood</t>
  </si>
  <si>
    <t>Black Hooded Iron Helm</t>
  </si>
  <si>
    <t>Blindfold Cap</t>
  </si>
  <si>
    <t>Bone Ash Mask</t>
  </si>
  <si>
    <t>Brador's Testimony</t>
  </si>
  <si>
    <t>Butcher Mask</t>
  </si>
  <si>
    <t>Cainhurst Helmet</t>
  </si>
  <si>
    <t>Crown of Illusions</t>
  </si>
  <si>
    <t>Doll Hat</t>
  </si>
  <si>
    <t>Enlarged Head</t>
  </si>
  <si>
    <t>Gascoigne's Cap</t>
  </si>
  <si>
    <t>Gehrman's Hunter Cap</t>
  </si>
  <si>
    <t>Gold Ardeo</t>
  </si>
  <si>
    <t>Graveguard Mask</t>
  </si>
  <si>
    <t>Grey Wolf Cap</t>
  </si>
  <si>
    <t>Harrowed Hood</t>
  </si>
  <si>
    <t>Henryk's Hunter Cap</t>
  </si>
  <si>
    <t>Hunter Hat</t>
  </si>
  <si>
    <t>Iron Yahar'gul Helm</t>
  </si>
  <si>
    <t>Knight's Wig</t>
  </si>
  <si>
    <t>Madman Hood</t>
  </si>
  <si>
    <t>Maria Hunter Cap</t>
  </si>
  <si>
    <t>Master's/One-Eyed Iron Helm</t>
  </si>
  <si>
    <t>Mensis' Cage</t>
  </si>
  <si>
    <t>Old Hunter Cap</t>
  </si>
  <si>
    <t>Old Hunter Top Hat</t>
  </si>
  <si>
    <t>Rumpled Yharnam Hat</t>
  </si>
  <si>
    <t>Tomb Prospector Hood</t>
  </si>
  <si>
    <t>Top Hat</t>
  </si>
  <si>
    <t>White Church Hat</t>
  </si>
  <si>
    <t>Yamamura Hunter Hat</t>
  </si>
  <si>
    <t>Yharnam Hunter Cap</t>
  </si>
  <si>
    <t>TOTAL</t>
  </si>
  <si>
    <t>Ashen Hunter Garb</t>
  </si>
  <si>
    <t>Beast Hide Garb</t>
  </si>
  <si>
    <t>Black Church Garb</t>
  </si>
  <si>
    <t>Bone Ash Armor</t>
  </si>
  <si>
    <t>Butcher Garb</t>
  </si>
  <si>
    <t>Cainhurst Armor</t>
  </si>
  <si>
    <t>Charred Hunter Garb</t>
  </si>
  <si>
    <t>Choir Garb</t>
  </si>
  <si>
    <t>Constable's Garb</t>
  </si>
  <si>
    <t>Crowfeather Garb</t>
  </si>
  <si>
    <t>Decorative Old Hunter Garb</t>
  </si>
  <si>
    <t>Doll Clothes</t>
  </si>
  <si>
    <t>Executioner Garb</t>
  </si>
  <si>
    <t>Foreign Garb</t>
  </si>
  <si>
    <t>Gascoigne's Garb</t>
  </si>
  <si>
    <t>Gehrman's Hunter Garb</t>
  </si>
  <si>
    <t>Graveguard Robe</t>
  </si>
  <si>
    <t>Harrowed Garb</t>
  </si>
  <si>
    <t>Henryk's Hunter Garb</t>
  </si>
  <si>
    <t>Hunter Garb (With Cape)</t>
  </si>
  <si>
    <t>Hunter Garb (Without Cape)</t>
  </si>
  <si>
    <t>Khaki Haori</t>
  </si>
  <si>
    <t>Knight's Garb</t>
  </si>
  <si>
    <t>Madman Garb</t>
  </si>
  <si>
    <t>Maria Hunter Garb</t>
  </si>
  <si>
    <t>Noble Dress</t>
  </si>
  <si>
    <t>Old Hunter Garb</t>
  </si>
  <si>
    <t>Student Uniform</t>
  </si>
  <si>
    <t>Student Uniform Variant</t>
  </si>
  <si>
    <t>Sweaty Clothes</t>
  </si>
  <si>
    <t>Tomb Prospector Garb</t>
  </si>
  <si>
    <t>White Church Garb</t>
  </si>
  <si>
    <t>Yahar'gul Black Garb</t>
  </si>
  <si>
    <t>Yharnam Hunter Garb</t>
  </si>
  <si>
    <t>Ashen Hunter Gloves</t>
  </si>
  <si>
    <t>Bloodied Arm Bands</t>
  </si>
  <si>
    <t>Bone Ash Gauntlets</t>
  </si>
  <si>
    <t>Butcher Gloves</t>
  </si>
  <si>
    <t>Cainhurst Gauntlets</t>
  </si>
  <si>
    <t>Charred Hunter Gloves</t>
  </si>
  <si>
    <t>Choir Gloves</t>
  </si>
  <si>
    <t>Constable's Gloves</t>
  </si>
  <si>
    <t>Crowfeather Manchettes</t>
  </si>
  <si>
    <t>Doll Gloves</t>
  </si>
  <si>
    <t>Executioner Gauntlets</t>
  </si>
  <si>
    <t>Gascoigne's Gloves</t>
  </si>
  <si>
    <t>Graveguard Manchettes</t>
  </si>
  <si>
    <t>Harrowed Gloves</t>
  </si>
  <si>
    <t>Henryk's Hunter Gloves</t>
  </si>
  <si>
    <t>Hunter Gloves</t>
  </si>
  <si>
    <t>Knight's Gloves</t>
  </si>
  <si>
    <t>Madman Manchettes</t>
  </si>
  <si>
    <t>Maria Hunter Gloves</t>
  </si>
  <si>
    <t>Old Hunter Arm Bands</t>
  </si>
  <si>
    <t>Old Hunter Gloves</t>
  </si>
  <si>
    <t>Sullied Bandage</t>
  </si>
  <si>
    <t>Surgical Long Gloves</t>
  </si>
  <si>
    <t>Tomb Prospector Gloves</t>
  </si>
  <si>
    <t>Yahar'gul Black Gloves</t>
  </si>
  <si>
    <t>Yharnam Hunter Gloves</t>
  </si>
  <si>
    <t>Arianna's Shoes</t>
  </si>
  <si>
    <t>Ashen Hunter Trousers</t>
  </si>
  <si>
    <t>Black Church Trousers/Dress</t>
  </si>
  <si>
    <t>Bloodied Trousers</t>
  </si>
  <si>
    <t>Bone Ash Leggings</t>
  </si>
  <si>
    <t>Butcher Trousers</t>
  </si>
  <si>
    <t>Cainhurst Leggings</t>
  </si>
  <si>
    <t>Charred Hunter Boots</t>
  </si>
  <si>
    <t>Choir Trousers</t>
  </si>
  <si>
    <t>Constable's Trousers</t>
  </si>
  <si>
    <t>Crowfeather Trousers</t>
  </si>
  <si>
    <t>Decorative Old Hunter Trousers</t>
  </si>
  <si>
    <t>Doll Skirt</t>
  </si>
  <si>
    <t>Executioner Trousers</t>
  </si>
  <si>
    <t>Foreign Trousers</t>
  </si>
  <si>
    <t>Gascoigne's Trousers</t>
  </si>
  <si>
    <t>Gehrman's Hunter Trousers</t>
  </si>
  <si>
    <t>Graveguard Kilt</t>
  </si>
  <si>
    <t>Harrowed Trousers</t>
  </si>
  <si>
    <t>Henryk's Hunter Trousers</t>
  </si>
  <si>
    <t>Hunter Trousers</t>
  </si>
  <si>
    <t>Knight's Trousers-Dress</t>
  </si>
  <si>
    <t>Madman Leggings</t>
  </si>
  <si>
    <t>Maria Hunter Trousers</t>
  </si>
  <si>
    <t>Old Hunter Trousers</t>
  </si>
  <si>
    <t>Student Trousers</t>
  </si>
  <si>
    <t>Tomb Prospector Trousers</t>
  </si>
  <si>
    <t>White Church Trousers/Dress</t>
  </si>
  <si>
    <t>Wine Hakama</t>
  </si>
  <si>
    <t>Yahar'gul Black Trousers</t>
  </si>
  <si>
    <t>Yharnam Hunter Trousers</t>
  </si>
  <si>
    <t>Gloves</t>
  </si>
  <si>
    <t>Pants</t>
  </si>
  <si>
    <t>Item name</t>
  </si>
  <si>
    <t>Total score</t>
  </si>
  <si>
    <t>Weighted score</t>
  </si>
  <si>
    <t>PODIUM</t>
  </si>
  <si>
    <t>RAW SUM</t>
  </si>
  <si>
    <t>Hats</t>
  </si>
  <si>
    <t>Shirts</t>
  </si>
  <si>
    <t>Best hats</t>
  </si>
  <si>
    <t>List index (A-Z order)</t>
  </si>
  <si>
    <r>
      <t xml:space="preserve">Best item from each category    </t>
    </r>
    <r>
      <rPr>
        <i/>
        <sz val="18"/>
        <color theme="3"/>
        <rFont val="Aptos Display"/>
        <family val="2"/>
        <scheme val="major"/>
      </rPr>
      <t>(Total sum)</t>
    </r>
  </si>
  <si>
    <r>
      <t xml:space="preserve">Best item from each category </t>
    </r>
    <r>
      <rPr>
        <i/>
        <sz val="18"/>
        <color theme="3"/>
        <rFont val="Aptos Display"/>
        <family val="2"/>
        <scheme val="major"/>
      </rPr>
      <t>(Weighted)</t>
    </r>
  </si>
  <si>
    <t>Rank</t>
  </si>
  <si>
    <t>HELPER</t>
  </si>
  <si>
    <t>Best shirts</t>
  </si>
  <si>
    <t>Best gloves</t>
  </si>
  <si>
    <t>Best pants</t>
  </si>
  <si>
    <t>The absolute best combination of attire</t>
  </si>
  <si>
    <t>Uses a general estimated average enemy damage type based weighting, meaning that commonly encountered damage types like "Physical" are considered more important than for example "Blood", as it can be considered to be more rare. This weighting is based on empirical analysis of singular and collective domain. For actual values refer to the [Utility] Sheet.</t>
  </si>
  <si>
    <t>Best attire</t>
  </si>
  <si>
    <t>#</t>
  </si>
  <si>
    <t>Row number in corresponding table</t>
  </si>
  <si>
    <t>This is the mathematically optimal set for a bloodborne character</t>
  </si>
  <si>
    <t>Settings</t>
  </si>
  <si>
    <t>Value</t>
  </si>
  <si>
    <t>Notes</t>
  </si>
  <si>
    <t>Primary</t>
  </si>
  <si>
    <t>Tiebraker stat</t>
  </si>
  <si>
    <t>Used if primary tied</t>
  </si>
  <si>
    <t>Tolerance %</t>
  </si>
  <si>
    <t>Scenario B allows % leeway from max in primary stat</t>
  </si>
  <si>
    <t>Stat to maximize in scenario A</t>
  </si>
  <si>
    <t>Sheet 1 name</t>
  </si>
  <si>
    <t xml:space="preserve">Sheet 2 Name </t>
  </si>
  <si>
    <t>Sheet 3 Name</t>
  </si>
  <si>
    <t>Sheet 4 Name</t>
  </si>
  <si>
    <t>Stat name</t>
  </si>
  <si>
    <t>Column Index</t>
  </si>
  <si>
    <t>PrimaryStatCol = VLOOKUP(B2, E2:F12, 2, FALSE)</t>
  </si>
  <si>
    <t>TiebreakerCol = VLOOKUP(B3, E2:F12, 2, FALSE)</t>
  </si>
  <si>
    <t>PRI_STAT</t>
  </si>
  <si>
    <t>TIE_STAT</t>
  </si>
  <si>
    <t>COMP_A</t>
  </si>
  <si>
    <t>RANK_A</t>
  </si>
  <si>
    <t>Source</t>
  </si>
  <si>
    <t>Item Name</t>
  </si>
  <si>
    <t>OPTIMIZATION RESULTS</t>
  </si>
  <si>
    <t>Primary Stat:</t>
  </si>
  <si>
    <t>Tiebreaker:</t>
  </si>
  <si>
    <t>Tolerance:</t>
  </si>
  <si>
    <t>COMPARISON</t>
  </si>
  <si>
    <t>TOTAL Difference:</t>
  </si>
  <si>
    <t>Modify the values in blue for different Results</t>
  </si>
  <si>
    <t>To adjust the weighting, change the values in Utility sheet. With this you can generate per use-case sets like highest physical damage resistance, or highest arcane resistance etc.</t>
  </si>
  <si>
    <t>Type</t>
  </si>
  <si>
    <t>Note that changing values in the utility sheet affects the results here.</t>
  </si>
  <si>
    <r>
      <rPr>
        <b/>
        <sz val="11"/>
        <color theme="1"/>
        <rFont val="Aptos Narrow"/>
        <family val="2"/>
        <scheme val="minor"/>
      </rPr>
      <t xml:space="preserve">NOTE: </t>
    </r>
    <r>
      <rPr>
        <sz val="11"/>
        <color theme="1"/>
        <rFont val="Aptos Narrow"/>
        <family val="2"/>
        <scheme val="minor"/>
      </rPr>
      <t>This is a fun testing VBA module that essentially is an algorithm version of weight utility. In practice, adjusting the weights has the same outcome for the BiS attire as this, albeit without some machine noise and a few stats.</t>
    </r>
  </si>
  <si>
    <t xml:space="preserve">These weights represent the "multiplier" for importance of a stat. </t>
  </si>
  <si>
    <r>
      <t xml:space="preserve">The weighting functions with prioritizing some stats over others. As there are not as many sources of bolt damage in the game as there are sources of physical damage, the resistance for physical damage can be considered more </t>
    </r>
    <r>
      <rPr>
        <b/>
        <sz val="11"/>
        <color theme="1"/>
        <rFont val="Aptos Narrow"/>
        <family val="2"/>
        <scheme val="minor"/>
      </rPr>
      <t>important</t>
    </r>
    <r>
      <rPr>
        <sz val="11"/>
        <color theme="1"/>
        <rFont val="Aptos Narrow"/>
        <family val="2"/>
        <scheme val="minor"/>
      </rPr>
      <t xml:space="preserve"> than resistance for bolt damage. This functionality takes into account what stats are useful in armor pieces and what are less useful, in order to provide the BiS attire for practical use.</t>
    </r>
  </si>
  <si>
    <t>Example weights</t>
  </si>
  <si>
    <t>!Modify the values in these cells to re-calculate results in other sheets!</t>
  </si>
  <si>
    <r>
      <t xml:space="preserve">NOTE: </t>
    </r>
    <r>
      <rPr>
        <sz val="11"/>
        <color theme="1"/>
        <rFont val="Aptos Narrow"/>
        <family val="2"/>
        <scheme val="minor"/>
      </rPr>
      <t xml:space="preserve">Example values only consider the </t>
    </r>
    <r>
      <rPr>
        <b/>
        <sz val="11"/>
        <color theme="1"/>
        <rFont val="Aptos Narrow"/>
        <family val="2"/>
        <scheme val="minor"/>
      </rPr>
      <t xml:space="preserve">PvE </t>
    </r>
    <r>
      <rPr>
        <sz val="11"/>
        <color theme="1"/>
        <rFont val="Aptos Narrow"/>
        <family val="2"/>
        <scheme val="minor"/>
      </rPr>
      <t xml:space="preserve">aspect of the game. Weights can be adjusted according to PvP meta. </t>
    </r>
    <r>
      <rPr>
        <i/>
        <sz val="11"/>
        <color theme="1"/>
        <rFont val="Aptos Narrow"/>
        <family val="2"/>
        <scheme val="minor"/>
      </rPr>
      <t>(As an example if blood weapons are common in pvp and blunt weapons are not, reduce the blunt weight and increase the blood weight.)</t>
    </r>
  </si>
  <si>
    <r>
      <t xml:space="preserve">Blunt damage is more common than thrust, so </t>
    </r>
    <r>
      <rPr>
        <i/>
        <sz val="11"/>
        <color theme="1"/>
        <rFont val="Aptos Narrow"/>
        <family val="2"/>
        <scheme val="minor"/>
      </rPr>
      <t>BluntWeight</t>
    </r>
    <r>
      <rPr>
        <sz val="11"/>
        <color theme="1"/>
        <rFont val="Aptos Narrow"/>
        <family val="2"/>
        <scheme val="minor"/>
      </rPr>
      <t xml:space="preserve"> &gt;</t>
    </r>
    <r>
      <rPr>
        <i/>
        <sz val="11"/>
        <color theme="1"/>
        <rFont val="Aptos Narrow"/>
        <family val="2"/>
        <scheme val="minor"/>
      </rPr>
      <t xml:space="preserve"> ThrustWeight</t>
    </r>
  </si>
  <si>
    <r>
      <t xml:space="preserve">Physical weight should generally be </t>
    </r>
    <r>
      <rPr>
        <i/>
        <sz val="11"/>
        <color theme="1"/>
        <rFont val="Aptos Narrow"/>
        <family val="2"/>
        <scheme val="minor"/>
      </rPr>
      <t>~2x</t>
    </r>
    <r>
      <rPr>
        <sz val="11"/>
        <color theme="1"/>
        <rFont val="Aptos Narrow"/>
        <family val="2"/>
        <scheme val="minor"/>
      </rPr>
      <t xml:space="preserve"> the other weights, as almost every enemy does physical</t>
    </r>
  </si>
  <si>
    <r>
      <t>If prioritizing resistances (</t>
    </r>
    <r>
      <rPr>
        <i/>
        <sz val="11"/>
        <color theme="1"/>
        <rFont val="Aptos Narrow"/>
        <family val="2"/>
        <scheme val="minor"/>
      </rPr>
      <t>poison, frenzy</t>
    </r>
    <r>
      <rPr>
        <sz val="11"/>
        <color theme="1"/>
        <rFont val="Aptos Narrow"/>
        <family val="2"/>
        <scheme val="minor"/>
      </rPr>
      <t>) the weight should be much higher (~2,5x) than for others, as the stat values are much smaller than others.</t>
    </r>
  </si>
  <si>
    <r>
      <t>A heavy priorization for a stat should have weight of</t>
    </r>
    <r>
      <rPr>
        <i/>
        <sz val="11"/>
        <color theme="1"/>
        <rFont val="Aptos Narrow"/>
        <family val="2"/>
        <scheme val="minor"/>
      </rPr>
      <t xml:space="preserve"> &gt;1,5+</t>
    </r>
    <r>
      <rPr>
        <sz val="11"/>
        <color theme="1"/>
        <rFont val="Aptos Narrow"/>
        <family val="2"/>
        <scheme val="minor"/>
      </rPr>
      <t xml:space="preserve">, for secondary </t>
    </r>
    <r>
      <rPr>
        <i/>
        <sz val="11"/>
        <color theme="1"/>
        <rFont val="Aptos Narrow"/>
        <family val="2"/>
        <scheme val="minor"/>
      </rPr>
      <t>1,0&gt;weight&gt;0,5</t>
    </r>
    <r>
      <rPr>
        <sz val="11"/>
        <color theme="1"/>
        <rFont val="Aptos Narrow"/>
        <family val="2"/>
        <scheme val="minor"/>
      </rPr>
      <t xml:space="preserve"> and under </t>
    </r>
    <r>
      <rPr>
        <i/>
        <sz val="11"/>
        <color theme="1"/>
        <rFont val="Aptos Narrow"/>
        <family val="2"/>
        <scheme val="minor"/>
      </rPr>
      <t>0,5</t>
    </r>
    <r>
      <rPr>
        <sz val="11"/>
        <color theme="1"/>
        <rFont val="Aptos Narrow"/>
        <family val="2"/>
        <scheme val="minor"/>
      </rPr>
      <t xml:space="preserve"> for stats that are indifferent</t>
    </r>
  </si>
  <si>
    <t>^Same goes for beasthood</t>
  </si>
  <si>
    <r>
      <rPr>
        <b/>
        <sz val="11"/>
        <color theme="1"/>
        <rFont val="Aptos Narrow"/>
        <family val="2"/>
        <scheme val="minor"/>
      </rPr>
      <t xml:space="preserve">How to use: </t>
    </r>
    <r>
      <rPr>
        <sz val="11"/>
        <color theme="1"/>
        <rFont val="Aptos Narrow"/>
        <family val="2"/>
        <scheme val="minor"/>
      </rPr>
      <t xml:space="preserve">Module should be available to be ran with </t>
    </r>
    <r>
      <rPr>
        <i/>
        <sz val="11"/>
        <color theme="1"/>
        <rFont val="Aptos Narrow"/>
        <family val="2"/>
        <scheme val="minor"/>
      </rPr>
      <t>alt</t>
    </r>
    <r>
      <rPr>
        <sz val="11"/>
        <color theme="1"/>
        <rFont val="Aptos Narrow"/>
        <family val="2"/>
        <scheme val="minor"/>
      </rPr>
      <t xml:space="preserve"> + </t>
    </r>
    <r>
      <rPr>
        <i/>
        <sz val="11"/>
        <color theme="1"/>
        <rFont val="Aptos Narrow"/>
        <family val="2"/>
        <scheme val="minor"/>
      </rPr>
      <t>F8</t>
    </r>
    <r>
      <rPr>
        <sz val="11"/>
        <color theme="1"/>
        <rFont val="Aptos Narrow"/>
        <family val="2"/>
        <scheme val="minor"/>
      </rPr>
      <t xml:space="preserve"> , that then generates output to the Results sheet. Modify blue values for different priorizations.</t>
    </r>
  </si>
  <si>
    <r>
      <t xml:space="preserve">Scenario B: </t>
    </r>
    <r>
      <rPr>
        <sz val="11"/>
        <color theme="1"/>
        <rFont val="Aptos Narrow"/>
        <family val="2"/>
        <scheme val="minor"/>
      </rPr>
      <t xml:space="preserve">Generate a combination of armor that has </t>
    </r>
    <r>
      <rPr>
        <b/>
        <sz val="11"/>
        <color theme="1"/>
        <rFont val="Aptos Narrow"/>
        <family val="2"/>
        <scheme val="minor"/>
      </rPr>
      <t>highest weighted total</t>
    </r>
    <r>
      <rPr>
        <sz val="11"/>
        <color theme="1"/>
        <rFont val="Aptos Narrow"/>
        <family val="2"/>
        <scheme val="minor"/>
      </rPr>
      <t xml:space="preserve">, while still having as high as possible value for </t>
    </r>
    <r>
      <rPr>
        <b/>
        <sz val="11"/>
        <color theme="1"/>
        <rFont val="Aptos Narrow"/>
        <family val="2"/>
        <scheme val="minor"/>
      </rPr>
      <t>primary</t>
    </r>
    <r>
      <rPr>
        <sz val="11"/>
        <color theme="1"/>
        <rFont val="Aptos Narrow"/>
        <family val="2"/>
        <scheme val="minor"/>
      </rPr>
      <t>.</t>
    </r>
  </si>
  <si>
    <r>
      <rPr>
        <b/>
        <sz val="11"/>
        <color theme="1"/>
        <rFont val="Aptos Narrow"/>
        <family val="2"/>
        <scheme val="minor"/>
      </rPr>
      <t>Scenario A</t>
    </r>
    <r>
      <rPr>
        <sz val="11"/>
        <color theme="1"/>
        <rFont val="Aptos Narrow"/>
        <family val="2"/>
        <scheme val="minor"/>
      </rPr>
      <t xml:space="preserve">: </t>
    </r>
    <r>
      <rPr>
        <b/>
        <sz val="11"/>
        <color theme="1"/>
        <rFont val="Aptos Narrow"/>
        <family val="2"/>
        <scheme val="minor"/>
      </rPr>
      <t xml:space="preserve"> </t>
    </r>
    <r>
      <rPr>
        <sz val="11"/>
        <color theme="1"/>
        <rFont val="Aptos Narrow"/>
        <family val="2"/>
        <scheme val="minor"/>
      </rPr>
      <t xml:space="preserve">Generate the combination of armor that provides the highest stat value for </t>
    </r>
    <r>
      <rPr>
        <b/>
        <sz val="11"/>
        <color theme="1"/>
        <rFont val="Aptos Narrow"/>
        <family val="2"/>
        <scheme val="minor"/>
      </rPr>
      <t>primary</t>
    </r>
    <r>
      <rPr>
        <sz val="11"/>
        <color theme="1"/>
        <rFont val="Aptos Narrow"/>
        <family val="2"/>
        <scheme val="minor"/>
      </rPr>
      <t>. Every other stat is indifferent.</t>
    </r>
  </si>
  <si>
    <r>
      <rPr>
        <b/>
        <sz val="11"/>
        <color theme="1"/>
        <rFont val="Aptos Narrow"/>
        <family val="2"/>
        <scheme val="minor"/>
      </rPr>
      <t xml:space="preserve">Tie scenario: </t>
    </r>
    <r>
      <rPr>
        <sz val="11"/>
        <color theme="1"/>
        <rFont val="Aptos Narrow"/>
        <family val="2"/>
        <scheme val="minor"/>
      </rPr>
      <t xml:space="preserve">If multiple items have same value for primary stat, the one with higher </t>
    </r>
    <r>
      <rPr>
        <b/>
        <sz val="11"/>
        <color theme="1"/>
        <rFont val="Aptos Narrow"/>
        <family val="2"/>
        <scheme val="minor"/>
      </rPr>
      <t>tiebreaker</t>
    </r>
    <r>
      <rPr>
        <sz val="11"/>
        <color theme="1"/>
        <rFont val="Aptos Narrow"/>
        <family val="2"/>
        <scheme val="minor"/>
      </rPr>
      <t xml:space="preserve"> stat wins. If those are the same it might be alphabetically decided (A&gt;Z).</t>
    </r>
  </si>
  <si>
    <r>
      <rPr>
        <b/>
        <sz val="11"/>
        <color theme="1"/>
        <rFont val="Aptos Narrow"/>
        <family val="2"/>
        <scheme val="minor"/>
      </rPr>
      <t>Tolerance %:</t>
    </r>
    <r>
      <rPr>
        <sz val="11"/>
        <color theme="1"/>
        <rFont val="Aptos Narrow"/>
        <family val="2"/>
        <scheme val="minor"/>
      </rPr>
      <t xml:space="preserve"> This value indicates how much smaller </t>
    </r>
    <r>
      <rPr>
        <b/>
        <sz val="11"/>
        <color theme="1"/>
        <rFont val="Aptos Narrow"/>
        <family val="2"/>
        <scheme val="minor"/>
      </rPr>
      <t>primary</t>
    </r>
    <r>
      <rPr>
        <sz val="11"/>
        <color theme="1"/>
        <rFont val="Aptos Narrow"/>
        <family val="2"/>
        <scheme val="minor"/>
      </rPr>
      <t xml:space="preserve"> stat can be in </t>
    </r>
    <r>
      <rPr>
        <b/>
        <sz val="11"/>
        <color theme="1"/>
        <rFont val="Aptos Narrow"/>
        <family val="2"/>
        <scheme val="minor"/>
      </rPr>
      <t>Scenario B</t>
    </r>
    <r>
      <rPr>
        <sz val="11"/>
        <color theme="1"/>
        <rFont val="Aptos Narrow"/>
        <family val="2"/>
        <scheme val="minor"/>
      </rPr>
      <t xml:space="preserve"> compared to result from </t>
    </r>
    <r>
      <rPr>
        <b/>
        <sz val="11"/>
        <color theme="1"/>
        <rFont val="Aptos Narrow"/>
        <family val="2"/>
        <scheme val="minor"/>
      </rPr>
      <t>Scenario A</t>
    </r>
    <r>
      <rPr>
        <sz val="11"/>
        <color theme="1"/>
        <rFont val="Aptos Narrow"/>
        <family val="2"/>
        <scheme val="minor"/>
      </rPr>
      <t xml:space="preserve">. </t>
    </r>
    <r>
      <rPr>
        <i/>
        <sz val="11"/>
        <color theme="1"/>
        <rFont val="Aptos Narrow"/>
        <family val="2"/>
        <scheme val="minor"/>
      </rPr>
      <t xml:space="preserve">(The </t>
    </r>
    <r>
      <rPr>
        <b/>
        <i/>
        <sz val="11"/>
        <color theme="1"/>
        <rFont val="Aptos Narrow"/>
        <family val="2"/>
        <scheme val="minor"/>
      </rPr>
      <t>B</t>
    </r>
    <r>
      <rPr>
        <i/>
        <sz val="11"/>
        <color theme="1"/>
        <rFont val="Aptos Narrow"/>
        <family val="2"/>
        <scheme val="minor"/>
      </rPr>
      <t xml:space="preserve"> output might have way better armor in other stats while having </t>
    </r>
    <r>
      <rPr>
        <b/>
        <i/>
        <sz val="11"/>
        <color theme="1"/>
        <rFont val="Aptos Narrow"/>
        <family val="2"/>
        <scheme val="minor"/>
      </rPr>
      <t>Tolerance%</t>
    </r>
    <r>
      <rPr>
        <i/>
        <sz val="11"/>
        <color theme="1"/>
        <rFont val="Aptos Narrow"/>
        <family val="2"/>
        <scheme val="minor"/>
      </rPr>
      <t xml:space="preserve"> less in </t>
    </r>
    <r>
      <rPr>
        <b/>
        <i/>
        <sz val="11"/>
        <color theme="1"/>
        <rFont val="Aptos Narrow"/>
        <family val="2"/>
        <scheme val="minor"/>
      </rPr>
      <t xml:space="preserve">primary </t>
    </r>
    <r>
      <rPr>
        <i/>
        <sz val="11"/>
        <color theme="1"/>
        <rFont val="Aptos Narrow"/>
        <family val="2"/>
        <scheme val="minor"/>
      </rPr>
      <t>stat)</t>
    </r>
  </si>
  <si>
    <r>
      <rPr>
        <b/>
        <sz val="11"/>
        <color theme="1"/>
        <rFont val="Aptos Narrow"/>
        <family val="2"/>
        <scheme val="minor"/>
      </rPr>
      <t xml:space="preserve">NOTE: </t>
    </r>
    <r>
      <rPr>
        <sz val="11"/>
        <color theme="1"/>
        <rFont val="Aptos Narrow"/>
        <family val="2"/>
        <scheme val="minor"/>
      </rPr>
      <t>Don't touch other cells than</t>
    </r>
    <r>
      <rPr>
        <b/>
        <sz val="11"/>
        <color theme="1"/>
        <rFont val="Aptos Narrow"/>
        <family val="2"/>
        <scheme val="minor"/>
      </rPr>
      <t xml:space="preserve"> B2, B3, B4</t>
    </r>
    <r>
      <rPr>
        <sz val="11"/>
        <color theme="1"/>
        <rFont val="Aptos Narrow"/>
        <family val="2"/>
        <scheme val="minor"/>
      </rPr>
      <t>. Especially if you lack excel expertise.</t>
    </r>
  </si>
  <si>
    <t>Full Set Name</t>
  </si>
  <si>
    <t>Ashen Hunter</t>
  </si>
  <si>
    <t>Black Church</t>
  </si>
  <si>
    <t>Bone Ash</t>
  </si>
  <si>
    <t>Brador's</t>
  </si>
  <si>
    <t>Butcher</t>
  </si>
  <si>
    <t>Cainhurst</t>
  </si>
  <si>
    <t>Choir</t>
  </si>
  <si>
    <t>Constable's</t>
  </si>
  <si>
    <t>Crowfeather</t>
  </si>
  <si>
    <t>Doll</t>
  </si>
  <si>
    <t>Executioner</t>
  </si>
  <si>
    <t>Foreign</t>
  </si>
  <si>
    <t>Gascoigne's</t>
  </si>
  <si>
    <t>Graveguard</t>
  </si>
  <si>
    <t>Harrowed</t>
  </si>
  <si>
    <t>Henryk's Hunter</t>
  </si>
  <si>
    <t>Hunter - Hunter Hat + With Cape</t>
  </si>
  <si>
    <t>Hunter - Hunter Hat + Without Cape</t>
  </si>
  <si>
    <t>Hunter - Top Hat + WIth Cape</t>
  </si>
  <si>
    <t>Hunter - Top Hat + WIthout Cape</t>
  </si>
  <si>
    <t>Knight's</t>
  </si>
  <si>
    <t>Madman</t>
  </si>
  <si>
    <t>Maria Hunter</t>
  </si>
  <si>
    <t>Old Hunter - Old Hunter Cap</t>
  </si>
  <si>
    <t>Old Hunter - Old Hunter Top Hat</t>
  </si>
  <si>
    <t>Decorative Old Hunter - Old Hunter Cap</t>
  </si>
  <si>
    <t>Decorative - Old Hunter Top Hat</t>
  </si>
  <si>
    <t>Tomb Prospector</t>
  </si>
  <si>
    <t>White Church</t>
  </si>
  <si>
    <t>Yahar'gul - Black Hooded Iron Helm</t>
  </si>
  <si>
    <t>Yahar'gul - Iron Yahar'gul Helm</t>
  </si>
  <si>
    <t>Yamamura Hunter</t>
  </si>
  <si>
    <t>Yharnam Hunter</t>
  </si>
  <si>
    <t>Read from here</t>
  </si>
  <si>
    <t>^^</t>
  </si>
  <si>
    <t>Trade Ratio:</t>
  </si>
  <si>
    <t>SCENARIO A: MAXIMUM FIRE</t>
  </si>
  <si>
    <t>SCENARIO B: MAXIMUM TOTAL (where Fire &gt;= 323,0)</t>
  </si>
  <si>
    <t>Fire Difference:</t>
  </si>
  <si>
    <t>(-13,2%)</t>
  </si>
  <si>
    <t>(8,4%)</t>
  </si>
  <si>
    <t>1,8 TOTAL per 1 Fire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</si>
</sst>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sz val="11"/>
      <color rgb="FF00610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b/>
      <u/>
      <sz val="18"/>
      <color theme="3"/>
      <name val="Aptos Display"/>
      <family val="2"/>
      <scheme val="major"/>
    </font>
    <font>
      <b/>
      <sz val="11"/>
      <color rgb="FF006100"/>
      <name val="Aptos Narrow"/>
      <family val="2"/>
      <scheme val="minor"/>
    </font>
    <font>
      <i/>
      <sz val="18"/>
      <color theme="3"/>
      <name val="Aptos Display"/>
      <family val="2"/>
      <scheme val="major"/>
    </font>
    <font>
      <b/>
      <sz val="12"/>
      <color theme="1"/>
      <name val="Aptos Narrow"/>
      <family val="2"/>
      <scheme val="minor"/>
    </font>
    <font>
      <b/>
      <sz val="14"/>
      <color theme="1"/>
      <name val="Aptos Narrow"/>
      <family val="2"/>
      <scheme val="minor"/>
    </font>
    <font>
      <sz val="11"/>
      <color rgb="FF9C5700"/>
      <name val="Aptos Narrow"/>
      <family val="2"/>
      <scheme val="minor"/>
    </font>
    <font>
      <sz val="11"/>
      <color rgb="FF3F3F76"/>
      <name val="Aptos Narrow"/>
      <family val="2"/>
      <scheme val="minor"/>
    </font>
    <font>
      <b/>
      <i/>
      <sz val="11"/>
      <color theme="1"/>
      <name val="Aptos Narrow"/>
      <family val="2"/>
      <scheme val="minor"/>
    </font>
    <font>
      <b/>
      <u/>
      <sz val="20"/>
      <color theme="1"/>
      <name val="Aptos Narrow"/>
      <family val="2"/>
      <scheme val="minor"/>
    </font>
    <font>
      <i/>
      <sz val="11"/>
      <color theme="1"/>
      <name val="Aptos Narrow"/>
      <family val="2"/>
      <scheme val="minor"/>
    </font>
    <font>
      <b/>
      <sz val="10"/>
      <name val="Arial"/>
    </font>
    <font>
      <b/>
      <sz val="16"/>
      <color theme="1"/>
      <name val="Aptos Narrow"/>
      <family val="2"/>
      <scheme val="minor"/>
    </font>
  </fonts>
  <fills count="18">
    <fill>
      <patternFill patternType="none"/>
    </fill>
    <fill>
      <patternFill patternType="gray125"/>
    </fill>
    <fill>
      <patternFill patternType="solid">
        <fgColor rgb="FFC6EFCE"/>
      </patternFill>
    </fill>
    <fill>
      <patternFill patternType="solid">
        <fgColor rgb="FFF2F2F2"/>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0"/>
        <bgColor indexed="64"/>
      </patternFill>
    </fill>
    <fill>
      <patternFill patternType="solid">
        <fgColor rgb="FFC8E6C8"/>
        <bgColor indexed="64"/>
      </patternFill>
    </fill>
    <fill>
      <patternFill patternType="solid">
        <fgColor rgb="FFC8C8E6"/>
        <bgColor indexed="64"/>
      </patternFill>
    </fill>
    <fill>
      <patternFill patternType="solid">
        <fgColor rgb="FFE6E6C8"/>
        <bgColor indexed="64"/>
      </patternFill>
    </fill>
    <fill>
      <patternFill patternType="solid">
        <fgColor rgb="FFFFEB9C"/>
      </patternFill>
    </fill>
    <fill>
      <patternFill patternType="solid">
        <fgColor rgb="FFFFCC99"/>
      </patternFill>
    </fill>
    <fill>
      <patternFill patternType="solid">
        <fgColor rgb="FFFFFFCC"/>
      </patternFill>
    </fill>
    <fill>
      <patternFill patternType="solid">
        <fgColor theme="7" tint="0.79998168889431442"/>
        <bgColor indexed="65"/>
      </patternFill>
    </fill>
    <fill>
      <patternFill patternType="solid">
        <fgColor rgb="FFF4C7C3"/>
        <bgColor rgb="FFF4C7C3"/>
      </patternFill>
    </fill>
    <fill>
      <patternFill patternType="solid">
        <fgColor theme="7" tint="0.39997558519241921"/>
        <bgColor indexed="65"/>
      </patternFill>
    </fill>
  </fills>
  <borders count="47">
    <border>
      <left/>
      <right/>
      <top/>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right/>
      <top style="thin">
        <color indexed="64"/>
      </top>
      <bottom style="thin">
        <color indexed="64"/>
      </bottom>
      <diagonal/>
    </border>
    <border>
      <left/>
      <right/>
      <top style="thin">
        <color theme="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rgb="FF7F7F7F"/>
      </left>
      <right style="thin">
        <color indexed="64"/>
      </right>
      <top/>
      <bottom style="double">
        <color indexed="64"/>
      </bottom>
      <diagonal/>
    </border>
    <border>
      <left/>
      <right/>
      <top/>
      <bottom style="double">
        <color indexed="64"/>
      </bottom>
      <diagonal/>
    </border>
    <border>
      <left/>
      <right style="thin">
        <color indexed="64"/>
      </right>
      <top style="double">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thin">
        <color rgb="FF7F7F7F"/>
      </left>
      <right/>
      <top style="thin">
        <color rgb="FF7F7F7F"/>
      </top>
      <bottom style="thin">
        <color rgb="FF7F7F7F"/>
      </bottom>
      <diagonal/>
    </border>
    <border>
      <left/>
      <right style="thin">
        <color indexed="64"/>
      </right>
      <top style="thin">
        <color indexed="64"/>
      </top>
      <bottom style="thin">
        <color indexed="64"/>
      </bottom>
      <diagonal/>
    </border>
    <border>
      <left style="thin">
        <color indexed="64"/>
      </left>
      <right/>
      <top/>
      <bottom style="double">
        <color indexed="64"/>
      </bottom>
      <diagonal/>
    </border>
    <border>
      <left style="thin">
        <color indexed="64"/>
      </left>
      <right style="thin">
        <color indexed="64"/>
      </right>
      <top/>
      <bottom style="double">
        <color indexed="64"/>
      </bottom>
      <diagonal/>
    </border>
    <border>
      <left/>
      <right/>
      <top style="double">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rgb="FFB2B2B2"/>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rgb="FFB2B2B2"/>
      </left>
      <right style="thin">
        <color rgb="FFB2B2B2"/>
      </right>
      <top style="thin">
        <color rgb="FFB2B2B2"/>
      </top>
      <bottom/>
      <diagonal/>
    </border>
    <border>
      <left style="thin">
        <color rgb="FFB2B2B2"/>
      </left>
      <right style="thin">
        <color rgb="FFB2B2B2"/>
      </right>
      <top/>
      <bottom/>
      <diagonal/>
    </border>
    <border>
      <left style="thin">
        <color rgb="FFB2B2B2"/>
      </left>
      <right style="thin">
        <color rgb="FFB2B2B2"/>
      </right>
      <top/>
      <bottom style="thin">
        <color rgb="FFB2B2B2"/>
      </bottom>
      <diagonal/>
    </border>
    <border>
      <left style="thin">
        <color rgb="FFB2B2B2"/>
      </left>
      <right/>
      <top style="thin">
        <color rgb="FFB2B2B2"/>
      </top>
      <bottom/>
      <diagonal/>
    </border>
    <border>
      <left/>
      <right/>
      <top style="thin">
        <color rgb="FFB2B2B2"/>
      </top>
      <bottom/>
      <diagonal/>
    </border>
    <border>
      <left/>
      <right style="thin">
        <color rgb="FFB2B2B2"/>
      </right>
      <top style="thin">
        <color rgb="FFB2B2B2"/>
      </top>
      <bottom/>
      <diagonal/>
    </border>
    <border>
      <left/>
      <right style="thin">
        <color rgb="FFB2B2B2"/>
      </right>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rgb="FF7F7F7F"/>
      </left>
      <right style="thin">
        <color rgb="FF7F7F7F"/>
      </right>
      <top style="thin">
        <color rgb="FF7F7F7F"/>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diagonal/>
    </border>
    <border>
      <left style="double">
        <color indexed="64"/>
      </left>
      <right style="double">
        <color indexed="64"/>
      </right>
      <top style="thin">
        <color indexed="64"/>
      </top>
      <bottom style="thin">
        <color indexed="64"/>
      </bottom>
      <diagonal/>
    </border>
    <border>
      <left style="thin">
        <color rgb="FF7F7F7F"/>
      </left>
      <right style="thin">
        <color indexed="64"/>
      </right>
      <top/>
      <bottom/>
      <diagonal/>
    </border>
  </borders>
  <cellStyleXfs count="15">
    <xf numFmtId="0" fontId="0" fillId="0" borderId="0"/>
    <xf numFmtId="0" fontId="2" fillId="0" borderId="0" applyNumberFormat="0" applyFill="0" applyBorder="0" applyAlignment="0" applyProtection="0"/>
    <xf numFmtId="0" fontId="3" fillId="2" borderId="0" applyNumberFormat="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6" fillId="0" borderId="2" applyNumberFormat="0" applyFill="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2" fillId="12" borderId="0" applyNumberFormat="0" applyBorder="0" applyAlignment="0" applyProtection="0"/>
    <xf numFmtId="0" fontId="13" fillId="13" borderId="1" applyNumberFormat="0" applyAlignment="0" applyProtection="0"/>
    <xf numFmtId="0" fontId="1" fillId="14" borderId="22" applyNumberFormat="0" applyFont="0" applyAlignment="0" applyProtection="0"/>
    <xf numFmtId="0" fontId="1" fillId="15" borderId="0" applyNumberFormat="0" applyBorder="0" applyAlignment="0" applyProtection="0"/>
    <xf numFmtId="0" fontId="1" fillId="7" borderId="0" applyNumberFormat="0" applyBorder="0" applyAlignment="0" applyProtection="0"/>
    <xf numFmtId="0" fontId="1" fillId="17" borderId="0" applyNumberFormat="0" applyBorder="0" applyAlignment="0" applyProtection="0"/>
  </cellStyleXfs>
  <cellXfs count="136">
    <xf numFmtId="0" fontId="0" fillId="0" borderId="0" xfId="0"/>
    <xf numFmtId="0" fontId="0" fillId="0" borderId="0" xfId="0" applyAlignment="1">
      <alignment horizontal="center"/>
    </xf>
    <xf numFmtId="0" fontId="0" fillId="0" borderId="0" xfId="0" applyAlignment="1">
      <alignment horizontal="center" vertical="center"/>
    </xf>
    <xf numFmtId="0" fontId="6" fillId="0" borderId="4" xfId="5" applyBorder="1" applyAlignment="1">
      <alignment horizontal="center" vertical="center"/>
    </xf>
    <xf numFmtId="0" fontId="0" fillId="8" borderId="7" xfId="0" applyFill="1" applyBorder="1"/>
    <xf numFmtId="2" fontId="0" fillId="0" borderId="7" xfId="0" applyNumberFormat="1" applyBorder="1"/>
    <xf numFmtId="164" fontId="0" fillId="0" borderId="7" xfId="0" applyNumberFormat="1" applyBorder="1"/>
    <xf numFmtId="0" fontId="0" fillId="0" borderId="6" xfId="0" applyBorder="1" applyAlignment="1">
      <alignment horizontal="center" vertical="center"/>
    </xf>
    <xf numFmtId="0" fontId="4" fillId="3" borderId="1" xfId="3" applyFill="1" applyBorder="1"/>
    <xf numFmtId="0" fontId="2" fillId="0" borderId="0" xfId="1"/>
    <xf numFmtId="0" fontId="0" fillId="0" borderId="6" xfId="0" applyBorder="1"/>
    <xf numFmtId="0" fontId="0" fillId="0" borderId="9" xfId="0" applyBorder="1" applyAlignment="1">
      <alignment horizontal="center"/>
    </xf>
    <xf numFmtId="0" fontId="0" fillId="0" borderId="6" xfId="0" applyBorder="1" applyAlignment="1">
      <alignment horizontal="center"/>
    </xf>
    <xf numFmtId="0" fontId="1" fillId="4" borderId="0" xfId="6" applyAlignment="1">
      <alignment horizontal="center"/>
    </xf>
    <xf numFmtId="0" fontId="0" fillId="0" borderId="9" xfId="0" applyBorder="1" applyAlignment="1">
      <alignment horizontal="center" vertical="center"/>
    </xf>
    <xf numFmtId="0" fontId="1" fillId="4" borderId="8" xfId="6" applyBorder="1" applyAlignment="1">
      <alignment horizontal="center" vertical="center"/>
    </xf>
    <xf numFmtId="0" fontId="1" fillId="4" borderId="0" xfId="6" quotePrefix="1" applyAlignment="1">
      <alignment horizontal="center" vertical="center"/>
    </xf>
    <xf numFmtId="0" fontId="1" fillId="4" borderId="0" xfId="6" applyAlignment="1">
      <alignment horizontal="center" vertical="center"/>
    </xf>
    <xf numFmtId="0" fontId="1" fillId="4" borderId="0" xfId="6" quotePrefix="1" applyNumberFormat="1" applyAlignment="1">
      <alignment horizontal="center" vertical="center"/>
    </xf>
    <xf numFmtId="0" fontId="1" fillId="5" borderId="8" xfId="7" applyBorder="1" applyAlignment="1">
      <alignment horizontal="center" vertical="center"/>
    </xf>
    <xf numFmtId="0" fontId="1" fillId="5" borderId="0" xfId="7" quotePrefix="1" applyAlignment="1">
      <alignment horizontal="center" vertical="center"/>
    </xf>
    <xf numFmtId="0" fontId="1" fillId="5" borderId="0" xfId="7" applyAlignment="1">
      <alignment horizontal="center" vertical="center"/>
    </xf>
    <xf numFmtId="0" fontId="1" fillId="5" borderId="0" xfId="7" quotePrefix="1" applyNumberFormat="1" applyAlignment="1">
      <alignment horizontal="center" vertical="center"/>
    </xf>
    <xf numFmtId="0" fontId="1" fillId="5" borderId="10" xfId="7" applyBorder="1" applyAlignment="1">
      <alignment horizontal="center" vertical="center"/>
    </xf>
    <xf numFmtId="0" fontId="1" fillId="5" borderId="11" xfId="7" quotePrefix="1" applyBorder="1" applyAlignment="1">
      <alignment horizontal="center" vertical="center"/>
    </xf>
    <xf numFmtId="0" fontId="1" fillId="5" borderId="11" xfId="7" quotePrefix="1" applyNumberFormat="1" applyBorder="1" applyAlignment="1">
      <alignment horizontal="center" vertical="center"/>
    </xf>
    <xf numFmtId="0" fontId="6" fillId="0" borderId="0" xfId="0" applyFont="1"/>
    <xf numFmtId="0" fontId="8" fillId="2" borderId="0" xfId="2" applyFont="1" applyAlignment="1">
      <alignment horizontal="center" vertical="center"/>
    </xf>
    <xf numFmtId="0" fontId="8" fillId="2" borderId="12" xfId="2" applyFont="1" applyBorder="1" applyAlignment="1">
      <alignment horizontal="center" vertical="center"/>
    </xf>
    <xf numFmtId="0" fontId="1" fillId="5" borderId="0" xfId="7" quotePrefix="1" applyBorder="1" applyAlignment="1">
      <alignment horizontal="center" vertical="center"/>
    </xf>
    <xf numFmtId="0" fontId="1" fillId="5" borderId="0" xfId="7" applyBorder="1" applyAlignment="1">
      <alignment horizontal="center" vertical="center"/>
    </xf>
    <xf numFmtId="0" fontId="1" fillId="5" borderId="0" xfId="7" quotePrefix="1" applyNumberFormat="1" applyBorder="1" applyAlignment="1">
      <alignment horizontal="center" vertical="center"/>
    </xf>
    <xf numFmtId="0" fontId="8" fillId="2" borderId="13" xfId="2" applyFont="1" applyBorder="1" applyAlignment="1">
      <alignment horizontal="center" vertical="center"/>
    </xf>
    <xf numFmtId="0" fontId="8" fillId="2" borderId="14" xfId="2" applyFont="1" applyBorder="1" applyAlignment="1">
      <alignment horizontal="center" vertical="center"/>
    </xf>
    <xf numFmtId="0" fontId="8" fillId="2" borderId="15" xfId="2" applyFont="1" applyBorder="1" applyAlignment="1">
      <alignment horizontal="center" vertical="center"/>
    </xf>
    <xf numFmtId="0" fontId="7" fillId="0" borderId="0" xfId="1" applyFont="1" applyAlignment="1">
      <alignment wrapText="1"/>
    </xf>
    <xf numFmtId="0" fontId="8" fillId="2" borderId="5" xfId="2" applyFont="1" applyBorder="1" applyAlignment="1">
      <alignment horizontal="center" vertical="center"/>
    </xf>
    <xf numFmtId="0" fontId="0" fillId="0" borderId="7" xfId="0" applyBorder="1" applyAlignment="1">
      <alignment horizontal="center" vertical="center"/>
    </xf>
    <xf numFmtId="0" fontId="1" fillId="4" borderId="16" xfId="6" applyBorder="1" applyAlignment="1">
      <alignment horizontal="center" vertical="center"/>
    </xf>
    <xf numFmtId="0" fontId="1" fillId="5" borderId="16" xfId="7" applyBorder="1" applyAlignment="1">
      <alignment horizontal="center" vertical="center"/>
    </xf>
    <xf numFmtId="0" fontId="8" fillId="2" borderId="7" xfId="2" applyFont="1" applyBorder="1" applyAlignment="1">
      <alignment horizontal="center" vertical="center"/>
    </xf>
    <xf numFmtId="0" fontId="1" fillId="4" borderId="16" xfId="6" quotePrefix="1" applyBorder="1" applyAlignment="1">
      <alignment horizontal="center" vertical="center"/>
    </xf>
    <xf numFmtId="0" fontId="1" fillId="5" borderId="16" xfId="7" quotePrefix="1" applyBorder="1" applyAlignment="1">
      <alignment horizontal="center" vertical="center"/>
    </xf>
    <xf numFmtId="0" fontId="8" fillId="2" borderId="0" xfId="2" applyFont="1" applyBorder="1" applyAlignment="1">
      <alignment horizontal="center" vertical="center"/>
    </xf>
    <xf numFmtId="0" fontId="1" fillId="4" borderId="0" xfId="6" applyBorder="1" applyAlignment="1">
      <alignment horizontal="center" vertical="center"/>
    </xf>
    <xf numFmtId="0" fontId="4" fillId="3" borderId="17" xfId="3" applyFill="1" applyBorder="1"/>
    <xf numFmtId="0" fontId="1" fillId="4" borderId="7" xfId="6" applyBorder="1" applyAlignment="1">
      <alignment horizontal="center" vertical="center"/>
    </xf>
    <xf numFmtId="0" fontId="1" fillId="4" borderId="7" xfId="6" quotePrefix="1" applyBorder="1" applyAlignment="1">
      <alignment horizontal="center" vertical="center"/>
    </xf>
    <xf numFmtId="0" fontId="1" fillId="4" borderId="7" xfId="6" quotePrefix="1" applyNumberFormat="1" applyBorder="1" applyAlignment="1">
      <alignment horizontal="center" vertical="center"/>
    </xf>
    <xf numFmtId="0" fontId="0" fillId="4" borderId="7" xfId="6" applyFont="1" applyBorder="1" applyAlignment="1">
      <alignment horizontal="center" vertical="center"/>
    </xf>
    <xf numFmtId="0" fontId="1" fillId="4" borderId="18" xfId="6" applyBorder="1" applyAlignment="1">
      <alignment horizontal="center" vertical="center"/>
    </xf>
    <xf numFmtId="0" fontId="2" fillId="7" borderId="0" xfId="1" applyFill="1"/>
    <xf numFmtId="0" fontId="1" fillId="6" borderId="0" xfId="8" applyAlignment="1">
      <alignment wrapText="1"/>
    </xf>
    <xf numFmtId="0" fontId="5" fillId="0" borderId="0" xfId="4"/>
    <xf numFmtId="0" fontId="1" fillId="5" borderId="19" xfId="7" applyBorder="1" applyAlignment="1">
      <alignment horizontal="center" vertical="center"/>
    </xf>
    <xf numFmtId="0" fontId="5" fillId="0" borderId="6" xfId="4" applyBorder="1" applyAlignment="1">
      <alignment horizontal="center" vertical="center"/>
    </xf>
    <xf numFmtId="0" fontId="3" fillId="2" borderId="7" xfId="2" applyBorder="1" applyAlignment="1">
      <alignment horizontal="center" wrapText="1"/>
    </xf>
    <xf numFmtId="0" fontId="10" fillId="6" borderId="16" xfId="8" applyFont="1" applyBorder="1" applyAlignment="1">
      <alignment horizontal="center" vertical="center"/>
    </xf>
    <xf numFmtId="0" fontId="10" fillId="6" borderId="20" xfId="8" applyFont="1" applyBorder="1" applyAlignment="1">
      <alignment horizontal="center" vertical="center"/>
    </xf>
    <xf numFmtId="0" fontId="0" fillId="0" borderId="8" xfId="0" applyBorder="1" applyAlignment="1">
      <alignment horizontal="center"/>
    </xf>
    <xf numFmtId="0" fontId="11" fillId="0" borderId="0" xfId="0" applyFont="1"/>
    <xf numFmtId="9" fontId="0" fillId="0" borderId="0" xfId="0" applyNumberFormat="1"/>
    <xf numFmtId="0" fontId="6" fillId="9" borderId="0" xfId="0" applyFont="1" applyFill="1"/>
    <xf numFmtId="0" fontId="0" fillId="9" borderId="0" xfId="0" applyFill="1"/>
    <xf numFmtId="0" fontId="6" fillId="10" borderId="0" xfId="0" applyFont="1" applyFill="1"/>
    <xf numFmtId="0" fontId="0" fillId="10" borderId="0" xfId="0" applyFill="1"/>
    <xf numFmtId="0" fontId="6" fillId="11" borderId="0" xfId="0" applyFont="1" applyFill="1"/>
    <xf numFmtId="0" fontId="0" fillId="11" borderId="0" xfId="0" applyFill="1"/>
    <xf numFmtId="2" fontId="0" fillId="0" borderId="6" xfId="0" applyNumberFormat="1" applyBorder="1" applyAlignment="1">
      <alignment horizontal="center" vertical="center"/>
    </xf>
    <xf numFmtId="2" fontId="0" fillId="0" borderId="6" xfId="0" quotePrefix="1" applyNumberFormat="1" applyBorder="1" applyAlignment="1">
      <alignment horizontal="center" vertical="center"/>
    </xf>
    <xf numFmtId="0" fontId="0" fillId="0" borderId="3" xfId="0" applyBorder="1" applyAlignment="1">
      <alignment horizontal="center" vertical="center"/>
    </xf>
    <xf numFmtId="2" fontId="0" fillId="0" borderId="3" xfId="0" applyNumberFormat="1" applyBorder="1" applyAlignment="1">
      <alignment horizontal="center" vertical="center"/>
    </xf>
    <xf numFmtId="0" fontId="0" fillId="0" borderId="5" xfId="0" applyBorder="1" applyAlignment="1">
      <alignment horizontal="center" vertical="center"/>
    </xf>
    <xf numFmtId="2" fontId="0" fillId="0" borderId="5" xfId="0" applyNumberFormat="1" applyBorder="1" applyAlignment="1">
      <alignment horizontal="center" vertical="center"/>
    </xf>
    <xf numFmtId="0" fontId="0" fillId="0" borderId="6" xfId="0" quotePrefix="1" applyBorder="1" applyAlignment="1">
      <alignment horizontal="center" vertical="center"/>
    </xf>
    <xf numFmtId="0" fontId="0" fillId="0" borderId="3" xfId="0" applyBorder="1"/>
    <xf numFmtId="0" fontId="0" fillId="0" borderId="5" xfId="0" applyBorder="1"/>
    <xf numFmtId="0" fontId="0" fillId="0" borderId="3" xfId="0" quotePrefix="1" applyBorder="1" applyAlignment="1">
      <alignment horizontal="center" vertical="center"/>
    </xf>
    <xf numFmtId="0" fontId="0" fillId="0" borderId="21" xfId="0" applyBorder="1"/>
    <xf numFmtId="0" fontId="0" fillId="0" borderId="21" xfId="0" applyBorder="1" applyAlignment="1">
      <alignment horizontal="center"/>
    </xf>
    <xf numFmtId="0" fontId="12" fillId="12" borderId="0" xfId="9"/>
    <xf numFmtId="0" fontId="1" fillId="4" borderId="9" xfId="6" applyBorder="1" applyAlignment="1">
      <alignment horizontal="center" vertical="center"/>
    </xf>
    <xf numFmtId="0" fontId="1" fillId="4" borderId="24" xfId="6" quotePrefix="1" applyBorder="1" applyAlignment="1">
      <alignment horizontal="center" vertical="center"/>
    </xf>
    <xf numFmtId="0" fontId="1" fillId="4" borderId="24" xfId="6" applyBorder="1" applyAlignment="1">
      <alignment horizontal="center" vertical="center"/>
    </xf>
    <xf numFmtId="0" fontId="1" fillId="4" borderId="24" xfId="6" quotePrefix="1" applyNumberFormat="1"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10" fillId="6" borderId="14" xfId="8" quotePrefix="1" applyFont="1" applyBorder="1" applyAlignment="1">
      <alignment horizontal="center" vertical="center"/>
    </xf>
    <xf numFmtId="0" fontId="10" fillId="6" borderId="16" xfId="8" quotePrefix="1" applyFont="1" applyBorder="1" applyAlignment="1">
      <alignment horizontal="center" vertical="center"/>
    </xf>
    <xf numFmtId="0" fontId="10" fillId="6" borderId="20" xfId="8" quotePrefix="1" applyFont="1" applyBorder="1" applyAlignment="1">
      <alignment horizontal="center" vertical="center"/>
    </xf>
    <xf numFmtId="0" fontId="3" fillId="2" borderId="0" xfId="2" applyAlignment="1">
      <alignment horizontal="center" vertical="center"/>
    </xf>
    <xf numFmtId="0" fontId="6" fillId="4" borderId="7" xfId="6" applyFont="1" applyBorder="1"/>
    <xf numFmtId="0" fontId="1" fillId="15" borderId="0" xfId="12" applyAlignment="1">
      <alignment horizontal="center"/>
    </xf>
    <xf numFmtId="0" fontId="17" fillId="16" borderId="41" xfId="0" applyFont="1" applyFill="1" applyBorder="1" applyAlignment="1">
      <alignment horizontal="center" vertical="center"/>
    </xf>
    <xf numFmtId="0" fontId="17" fillId="16" borderId="42" xfId="0" applyFont="1" applyFill="1" applyBorder="1" applyAlignment="1">
      <alignment horizontal="center" vertical="center"/>
    </xf>
    <xf numFmtId="0" fontId="17" fillId="16" borderId="43" xfId="0" applyFont="1" applyFill="1" applyBorder="1" applyAlignment="1">
      <alignment horizontal="center" vertical="center"/>
    </xf>
    <xf numFmtId="0" fontId="17" fillId="16" borderId="44" xfId="0" applyFont="1" applyFill="1" applyBorder="1" applyAlignment="1">
      <alignment horizontal="center" vertical="center"/>
    </xf>
    <xf numFmtId="0" fontId="0" fillId="0" borderId="45" xfId="0" applyBorder="1" applyAlignment="1">
      <alignment horizontal="center" vertical="center"/>
    </xf>
    <xf numFmtId="0" fontId="1" fillId="5" borderId="46" xfId="7" applyBorder="1" applyAlignment="1">
      <alignment horizontal="center" vertical="center"/>
    </xf>
    <xf numFmtId="0" fontId="18" fillId="0" borderId="7" xfId="0" applyFont="1" applyBorder="1"/>
    <xf numFmtId="0" fontId="18" fillId="7" borderId="24" xfId="13" applyFont="1" applyBorder="1" applyAlignment="1">
      <alignment horizontal="center"/>
    </xf>
    <xf numFmtId="0" fontId="1" fillId="17" borderId="21" xfId="14" applyBorder="1" applyAlignment="1">
      <alignment horizontal="center"/>
    </xf>
    <xf numFmtId="0" fontId="6" fillId="14" borderId="22" xfId="11" applyFont="1" applyAlignment="1">
      <alignment horizontal="center" vertical="center"/>
    </xf>
    <xf numFmtId="0" fontId="12" fillId="14" borderId="0" xfId="11" applyFont="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3" fillId="2" borderId="0" xfId="2" applyAlignment="1">
      <alignment horizontal="center" vertical="center" wrapText="1"/>
    </xf>
    <xf numFmtId="0" fontId="0" fillId="14" borderId="22" xfId="11" applyFont="1" applyAlignment="1">
      <alignment horizontal="left"/>
    </xf>
    <xf numFmtId="0" fontId="0" fillId="14" borderId="22" xfId="11" applyFont="1" applyAlignment="1">
      <alignment horizontal="center"/>
    </xf>
    <xf numFmtId="0" fontId="16" fillId="14" borderId="22" xfId="11" applyFont="1" applyAlignment="1">
      <alignment horizontal="left"/>
    </xf>
    <xf numFmtId="0" fontId="0" fillId="14" borderId="22" xfId="11" applyFont="1" applyAlignment="1">
      <alignment horizontal="center" vertical="center" wrapText="1"/>
    </xf>
    <xf numFmtId="0" fontId="3" fillId="2" borderId="0" xfId="2" applyAlignment="1">
      <alignment horizontal="center" vertical="center"/>
    </xf>
    <xf numFmtId="0" fontId="15" fillId="12" borderId="0" xfId="9" applyFont="1" applyAlignment="1">
      <alignment horizontal="center"/>
    </xf>
    <xf numFmtId="0" fontId="6" fillId="14" borderId="22" xfId="11" applyFont="1" applyAlignment="1">
      <alignment horizontal="center" wrapText="1"/>
    </xf>
    <xf numFmtId="0" fontId="13" fillId="13" borderId="36" xfId="10" applyBorder="1" applyAlignment="1">
      <alignment horizontal="center"/>
    </xf>
    <xf numFmtId="0" fontId="13" fillId="13" borderId="37" xfId="10" applyBorder="1" applyAlignment="1">
      <alignment horizontal="center"/>
    </xf>
    <xf numFmtId="0" fontId="13" fillId="13" borderId="38" xfId="10" applyBorder="1" applyAlignment="1">
      <alignment horizontal="center"/>
    </xf>
    <xf numFmtId="0" fontId="13" fillId="13" borderId="17" xfId="10" applyBorder="1" applyAlignment="1">
      <alignment horizontal="center"/>
    </xf>
    <xf numFmtId="0" fontId="13" fillId="13" borderId="39" xfId="10" applyBorder="1" applyAlignment="1">
      <alignment horizontal="center"/>
    </xf>
    <xf numFmtId="0" fontId="13" fillId="13" borderId="40" xfId="10" applyBorder="1" applyAlignment="1">
      <alignment horizontal="center"/>
    </xf>
    <xf numFmtId="0" fontId="0" fillId="14" borderId="26" xfId="11" applyFont="1" applyBorder="1" applyAlignment="1">
      <alignment horizontal="center" vertical="center" wrapText="1"/>
    </xf>
    <xf numFmtId="0" fontId="0" fillId="14" borderId="27" xfId="11" applyFont="1" applyBorder="1" applyAlignment="1">
      <alignment horizontal="center" vertical="center" wrapText="1"/>
    </xf>
    <xf numFmtId="0" fontId="0" fillId="14" borderId="28" xfId="11" applyFont="1" applyBorder="1" applyAlignment="1">
      <alignment horizontal="center" vertical="center" wrapText="1"/>
    </xf>
    <xf numFmtId="0" fontId="0" fillId="14" borderId="26" xfId="11" applyFont="1" applyBorder="1" applyAlignment="1">
      <alignment horizontal="center" wrapText="1"/>
    </xf>
    <xf numFmtId="0" fontId="0" fillId="14" borderId="27" xfId="11" applyFont="1" applyBorder="1" applyAlignment="1">
      <alignment horizontal="center" wrapText="1"/>
    </xf>
    <xf numFmtId="0" fontId="0" fillId="14" borderId="28" xfId="11" applyFont="1" applyBorder="1" applyAlignment="1">
      <alignment horizontal="center" wrapText="1"/>
    </xf>
    <xf numFmtId="0" fontId="0" fillId="14" borderId="29" xfId="11" applyFont="1" applyBorder="1" applyAlignment="1">
      <alignment horizontal="center" vertical="center" wrapText="1"/>
    </xf>
    <xf numFmtId="0" fontId="0" fillId="14" borderId="30" xfId="11" applyFont="1" applyBorder="1" applyAlignment="1">
      <alignment horizontal="center" vertical="center" wrapText="1"/>
    </xf>
    <xf numFmtId="0" fontId="0" fillId="14" borderId="31" xfId="11" applyFont="1" applyBorder="1" applyAlignment="1">
      <alignment horizontal="center" vertical="center" wrapText="1"/>
    </xf>
    <xf numFmtId="0" fontId="0" fillId="14" borderId="23" xfId="11" applyFont="1" applyBorder="1" applyAlignment="1">
      <alignment horizontal="center" vertical="center" wrapText="1"/>
    </xf>
    <xf numFmtId="0" fontId="0" fillId="14" borderId="0" xfId="11" applyFont="1" applyBorder="1" applyAlignment="1">
      <alignment horizontal="center" vertical="center" wrapText="1"/>
    </xf>
    <xf numFmtId="0" fontId="0" fillId="14" borderId="32" xfId="11" applyFont="1" applyBorder="1" applyAlignment="1">
      <alignment horizontal="center" vertical="center" wrapText="1"/>
    </xf>
    <xf numFmtId="0" fontId="0" fillId="14" borderId="33" xfId="11" applyFont="1" applyBorder="1" applyAlignment="1">
      <alignment horizontal="center" vertical="center" wrapText="1"/>
    </xf>
    <xf numFmtId="0" fontId="0" fillId="14" borderId="34" xfId="11" applyFont="1" applyBorder="1" applyAlignment="1">
      <alignment horizontal="center" vertical="center" wrapText="1"/>
    </xf>
    <xf numFmtId="0" fontId="0" fillId="14" borderId="35" xfId="11" applyFont="1" applyBorder="1" applyAlignment="1">
      <alignment horizontal="center" vertical="center" wrapText="1"/>
    </xf>
    <xf numFmtId="0" fontId="6" fillId="14" borderId="22" xfId="11" applyFont="1" applyAlignment="1">
      <alignment horizontal="center" vertical="center" wrapText="1"/>
    </xf>
  </cellXfs>
  <cellStyles count="15">
    <cellStyle name="20% - Accent1" xfId="6" builtinId="30"/>
    <cellStyle name="20% - Accent2" xfId="7" builtinId="34"/>
    <cellStyle name="20% - Accent3" xfId="8" builtinId="38"/>
    <cellStyle name="20% - Accent4" xfId="12" builtinId="42"/>
    <cellStyle name="40% - Accent3" xfId="13" builtinId="39"/>
    <cellStyle name="60% - Accent4" xfId="14" builtinId="44"/>
    <cellStyle name="Explanatory Text" xfId="4" builtinId="53"/>
    <cellStyle name="Good" xfId="2" builtinId="26"/>
    <cellStyle name="Input" xfId="10" builtinId="20"/>
    <cellStyle name="Neutral" xfId="9" builtinId="28"/>
    <cellStyle name="Normal" xfId="0" builtinId="0"/>
    <cellStyle name="Note" xfId="11" builtinId="10"/>
    <cellStyle name="Title" xfId="1" builtinId="15"/>
    <cellStyle name="Total" xfId="5" builtinId="25"/>
    <cellStyle name="Warning Text" xfId="3" builtinId="11"/>
  </cellStyles>
  <dxfs count="110">
    <dxf>
      <fill>
        <patternFill patternType="solid">
          <fgColor rgb="FFF4C7C3"/>
          <bgColor rgb="FFF4C7C3"/>
        </patternFill>
      </fill>
    </dxf>
    <dxf>
      <fill>
        <patternFill patternType="solid">
          <fgColor rgb="FFF4C7C3"/>
          <bgColor rgb="FFF4C7C3"/>
        </patternFill>
      </fill>
    </dxf>
    <dxf>
      <numFmt numFmtId="0" formatCode="General"/>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numFmt numFmtId="0" formatCode="General"/>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numFmt numFmtId="0" formatCode="General"/>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numFmt numFmtId="0" formatCode="General"/>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numFmt numFmtId="0" formatCode="General"/>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numFmt numFmtId="0" formatCode="General"/>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numFmt numFmtId="0" formatCode="General"/>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numFmt numFmtId="0" formatCode="General"/>
      <alignment horizontal="center" vertical="center" textRotation="0" wrapText="0" indent="0" justifyLastLine="0" shrinkToFit="0" readingOrder="0"/>
      <border diagonalUp="0" diagonalDown="0">
        <left style="double">
          <color indexed="64"/>
        </left>
        <right style="double">
          <color indexed="64"/>
        </right>
        <top style="thin">
          <color indexed="64"/>
        </top>
        <bottom style="thin">
          <color indexed="64"/>
        </bottom>
        <vertical/>
        <horizontal style="thin">
          <color indexed="64"/>
        </horizontal>
      </border>
    </dxf>
    <dxf>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alignment horizontal="center" vertical="center" textRotation="0" wrapText="0" indent="0" justifyLastLine="0" shrinkToFit="0" readingOrder="0"/>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0"/>
        <color auto="1"/>
        <name val="Arial"/>
        <scheme val="none"/>
      </font>
      <fill>
        <patternFill patternType="solid">
          <fgColor rgb="FFF4C7C3"/>
          <bgColor rgb="FFF4C7C3"/>
        </patternFill>
      </fill>
      <alignment horizontal="center" vertical="center" textRotation="0" wrapText="0" indent="0" justifyLastLine="0" shrinkToFit="0" readingOrder="0"/>
      <border diagonalUp="0" diagonalDown="0" outline="0">
        <left style="thin">
          <color rgb="FF000000"/>
        </left>
        <right style="thin">
          <color rgb="FF000000"/>
        </right>
        <top/>
        <bottom/>
      </border>
    </dxf>
    <dxf>
      <fill>
        <patternFill patternType="solid">
          <fgColor rgb="FFF4C7C3"/>
          <bgColor rgb="FFF4C7C3"/>
        </patternFill>
      </fill>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numFmt numFmtId="0" formatCode="General"/>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border diagonalUp="0" diagonalDown="0">
        <left/>
        <right/>
        <top style="thin">
          <color auto="1"/>
        </top>
        <bottom style="thin">
          <color auto="1"/>
        </bottom>
        <vertical/>
        <horizontal style="thin">
          <color auto="1"/>
        </horizontal>
      </border>
    </dxf>
    <dxf>
      <numFmt numFmtId="2" formatCode="0.00"/>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2" formatCode="0.00"/>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2" formatCode="0.00"/>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2" formatCode="0.00"/>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2" formatCode="0.00"/>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2" formatCode="0.00"/>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0" formatCode="General"/>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0" formatCode="General"/>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2" formatCode="0.00"/>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2" formatCode="0.00"/>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2" formatCode="0.00"/>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2" formatCode="0.00"/>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0" formatCode="General"/>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0" formatCode="General"/>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0" formatCode="General"/>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0" formatCode="General"/>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0" formatCode="General"/>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0" formatCode="General"/>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numFmt numFmtId="0" formatCode="General"/>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alignment horizontal="center" vertical="center" textRotation="0" wrapText="0" indent="0" justifyLastLine="0" shrinkToFit="0" readingOrder="0"/>
    </dxf>
    <dxf>
      <border outline="0">
        <bottom style="thin">
          <color indexed="64"/>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EC692CA-2DDA-4A10-A593-660A61C7DB5F}" name="Table2" displayName="Table2" ref="A1:T35" totalsRowShown="0" headerRowDxfId="109" dataDxfId="107" headerRowBorderDxfId="108">
  <autoFilter ref="A1:T35" xr:uid="{BEC692CA-2DDA-4A10-A593-660A61C7DB5F}"/>
  <sortState xmlns:xlrd2="http://schemas.microsoft.com/office/spreadsheetml/2017/richdata2" ref="A2:P35">
    <sortCondition ref="A1:A35"/>
  </sortState>
  <tableColumns count="20">
    <tableColumn id="1" xr3:uid="{56C2B688-B038-486B-840D-FCE94ACE9C63}" name="Item name" dataDxfId="106"/>
    <tableColumn id="2" xr3:uid="{035F0F26-8990-4956-8169-1054D62C5A14}" name="Physical" dataDxfId="105"/>
    <tableColumn id="3" xr3:uid="{C5904817-7AF5-4DCF-BC9D-C7A7CAABDD0B}" name="Blunt" dataDxfId="104"/>
    <tableColumn id="4" xr3:uid="{F6E958C1-7539-4459-B49B-D651DDEB377F}" name="Thrust" dataDxfId="103"/>
    <tableColumn id="5" xr3:uid="{BF62B404-2832-4351-9B8C-BD42E2071D40}" name="Blood" dataDxfId="102"/>
    <tableColumn id="6" xr3:uid="{8EB822C4-3B5A-4469-A2BA-4C1A1BDE80FA}" name="Arcane" dataDxfId="101"/>
    <tableColumn id="7" xr3:uid="{B8033CC3-1E9E-4393-8FFD-EF6789F778B2}" name="Fire" dataDxfId="100"/>
    <tableColumn id="8" xr3:uid="{0CE660FC-53C8-464E-83FF-879BFE9CB0CD}" name="Bolt" dataDxfId="99"/>
    <tableColumn id="9" xr3:uid="{0C9E2CD6-D9AA-427E-BEC3-1F858544A9D8}" name="Slow_x000a_Poison" dataDxfId="98"/>
    <tableColumn id="10" xr3:uid="{49592570-B7DD-4A7C-8053-95CBF1B04C0C}" name="Rapid_x000a_Poison" dataDxfId="97"/>
    <tableColumn id="11" xr3:uid="{FEBB301C-F8C7-466B-AA42-8F13B07CA968}" name="Frenzy" dataDxfId="96"/>
    <tableColumn id="12" xr3:uid="{099B3CFE-22EE-4EB2-86F7-5A1108E5879B}" name="Beasthood" dataDxfId="95"/>
    <tableColumn id="13" xr3:uid="{A423244E-1632-4528-8470-28406844C0FA}" name="TOTAL" dataDxfId="94">
      <calculatedColumnFormula>SUMPRODUCT(Table2[[#This Row],[Physical]:[Beasthood]],Utility!$H$9:$R$9)</calculatedColumnFormula>
    </tableColumn>
    <tableColumn id="16" xr3:uid="{F89EED8B-F43E-48C0-B73D-987075CA5337}" name="RAW SUM" dataDxfId="93">
      <calculatedColumnFormula>SUM(Table2[[#This Row],[Physical]:[Frenzy]])</calculatedColumnFormula>
    </tableColumn>
    <tableColumn id="14" xr3:uid="{73B7A0C7-D701-4920-857A-597204489F4B}" name="PODIUM" dataDxfId="92">
      <calculatedColumnFormula>RANK(Table2[[#This Row],[TOTAL]],Table2[TOTAL])</calculatedColumnFormula>
    </tableColumn>
    <tableColumn id="17" xr3:uid="{DA50B3E7-0898-43C4-A3CB-2A755F67DA8C}" name="HELPER" dataDxfId="91">
      <calculatedColumnFormula>RANK(O2,$O$2:$O$100,1)+COUNTIF($O$1:O1,O2)</calculatedColumnFormula>
    </tableColumn>
    <tableColumn id="18" xr3:uid="{09045DD9-FBA5-42FF-964F-7061E01A52E0}" name="PRI_STAT" dataDxfId="90">
      <calculatedColumnFormula array="1">INDEX($B2:$L2, 1, VLOOKUP(Config!$B$2, Config!$E$2:$F$12, 2, FALSE)-1)</calculatedColumnFormula>
    </tableColumn>
    <tableColumn id="19" xr3:uid="{9884E464-EB91-427B-9681-BF8CE51FE43C}" name="TIE_STAT" dataDxfId="89">
      <calculatedColumnFormula array="1">INDEX($B2:$L2, 1, VLOOKUP(Config!$B$3, Config!$E$2:$F$12, 2, FALSE)-1)</calculatedColumnFormula>
    </tableColumn>
    <tableColumn id="20" xr3:uid="{46C71842-CD0E-423B-98E3-A8CF3211018B}" name="COMP_A" dataDxfId="88">
      <calculatedColumnFormula>Q2*1000000 + R2*1000 + N2</calculatedColumnFormula>
    </tableColumn>
    <tableColumn id="21" xr3:uid="{88E23156-83E2-40D6-9C06-D496353700D7}" name="RANK_A" dataDxfId="87">
      <calculatedColumnFormula>RANK(S2, $S$2:$S$100, 0)</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BA3DE8-92C0-47FB-A26E-4FE639B0F9E9}" name="Table3" displayName="Table3" ref="A1:T35" totalsRowShown="0">
  <autoFilter ref="A1:T35" xr:uid="{65BA3DE8-92C0-47FB-A26E-4FE639B0F9E9}"/>
  <sortState xmlns:xlrd2="http://schemas.microsoft.com/office/spreadsheetml/2017/richdata2" ref="A2:T35">
    <sortCondition ref="A1:A35"/>
  </sortState>
  <tableColumns count="20">
    <tableColumn id="1" xr3:uid="{0A0E6500-DE67-4A33-A079-9AE6F512A16B}" name="Item name" dataDxfId="86"/>
    <tableColumn id="2" xr3:uid="{4A1A9C1D-3E5B-4979-8AC8-E8B5420579E4}" name="Physical" dataDxfId="85"/>
    <tableColumn id="3" xr3:uid="{3F71C320-EF54-4930-A7C8-35D33347FE72}" name="Blunt" dataDxfId="84"/>
    <tableColumn id="4" xr3:uid="{FFD35BB1-C39B-4157-9AA3-51488126B99D}" name="Thrust" dataDxfId="83"/>
    <tableColumn id="5" xr3:uid="{C0EA7078-6A82-4AE7-B882-A59EC68E1F90}" name="Blood" dataDxfId="82"/>
    <tableColumn id="6" xr3:uid="{719AC94A-EFEA-4F2A-9BA9-7978105244D2}" name="Arcane" dataDxfId="81"/>
    <tableColumn id="7" xr3:uid="{201052D4-24CA-47CF-8FC8-AAACD1680998}" name="Fire" dataDxfId="80"/>
    <tableColumn id="8" xr3:uid="{26034D5B-550A-49BD-B48D-2A63788F0F41}" name="Bolt" dataDxfId="79"/>
    <tableColumn id="9" xr3:uid="{C39A0689-2EA0-45EB-BF9D-68628EE16D8C}" name="Slow_x000a_Poison" dataDxfId="78"/>
    <tableColumn id="10" xr3:uid="{6653D828-3176-4750-9A00-9AC295A31120}" name="Rapid_x000a_Poison" dataDxfId="77"/>
    <tableColumn id="11" xr3:uid="{7B385897-9228-45DF-A975-83544E5919C5}" name="Frenzy" dataDxfId="76"/>
    <tableColumn id="12" xr3:uid="{F9D4DA3A-8123-4009-A98E-6D898529199D}" name="Beasthood" dataDxfId="75"/>
    <tableColumn id="13" xr3:uid="{DD42D331-6850-46C9-804A-47BDD87F909D}" name="TOTAL" dataDxfId="74">
      <calculatedColumnFormula>SUMPRODUCT(Table3[[#This Row],[Physical]:[Beasthood]],Utility!$H$9:$R$9)</calculatedColumnFormula>
    </tableColumn>
    <tableColumn id="15" xr3:uid="{401AEC49-B427-4EF2-A4A2-E6D1DCAEC1BB}" name="RAW SUM" dataDxfId="73">
      <calculatedColumnFormula>SUM(Table3[[#This Row],[Physical]:[Frenzy]])</calculatedColumnFormula>
    </tableColumn>
    <tableColumn id="14" xr3:uid="{00C20BFC-65EE-425C-83AB-9DD63A82633E}" name="PODIUM" dataDxfId="72">
      <calculatedColumnFormula>RANK(Table3[[#This Row],[TOTAL]],Table3[TOTAL])</calculatedColumnFormula>
    </tableColumn>
    <tableColumn id="16" xr3:uid="{4DCE408C-2D1F-4E82-AB9E-3A1BBCD9AF8F}" name="HELPER" dataDxfId="71">
      <calculatedColumnFormula>RANK(O2,$O$2:$O$100,1)+COUNTIF($O$1:O1,O2)</calculatedColumnFormula>
    </tableColumn>
    <tableColumn id="17" xr3:uid="{E75BCA9C-AB57-49D9-9FEB-DC86D4EB28A0}" name="PRI_STAT" dataDxfId="70">
      <calculatedColumnFormula array="1">INDEX($B2:$L2, 1, VLOOKUP(Config!$B$2, Config!$E$2:$F$12, 2, FALSE)-1)</calculatedColumnFormula>
    </tableColumn>
    <tableColumn id="18" xr3:uid="{D2872BEC-DA83-40DA-AB26-8D483893E0C9}" name="TIE_STAT" dataDxfId="69">
      <calculatedColumnFormula array="1">INDEX($B2:$L2, 1, VLOOKUP(Config!$B$3, Config!$E$2:$F$12, 2, FALSE)-1)</calculatedColumnFormula>
    </tableColumn>
    <tableColumn id="19" xr3:uid="{1AC1E736-5477-4C60-8D01-F95B08E38417}" name="COMP_A" dataDxfId="68">
      <calculatedColumnFormula>Q2*1000000 + R2*1000 + N2</calculatedColumnFormula>
    </tableColumn>
    <tableColumn id="20" xr3:uid="{279DC5EF-F4DB-42C4-BE74-A9B734440C7A}" name="RANK_A" dataDxfId="67">
      <calculatedColumnFormula>RANK(S2, $S$2:$S$100, 0)</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1211D75-4F2C-4EC2-B27F-B20C8490D6B3}" name="Table4" displayName="Table4" ref="A1:T27" totalsRowShown="0">
  <autoFilter ref="A1:T27" xr:uid="{71211D75-4F2C-4EC2-B27F-B20C8490D6B3}"/>
  <sortState xmlns:xlrd2="http://schemas.microsoft.com/office/spreadsheetml/2017/richdata2" ref="A2:O27">
    <sortCondition ref="A1:A27"/>
  </sortState>
  <tableColumns count="20">
    <tableColumn id="1" xr3:uid="{729E5651-4152-4069-9B22-2535A2D4BF61}" name="Item name" dataDxfId="66"/>
    <tableColumn id="2" xr3:uid="{D003BB55-78A8-4700-BD5F-230636253C0B}" name="Physical" dataDxfId="65"/>
    <tableColumn id="3" xr3:uid="{20DEAB11-EAFE-4EA8-A483-45785E5B84F5}" name="Blunt" dataDxfId="64"/>
    <tableColumn id="4" xr3:uid="{09FC8FE1-B5C2-40AF-9949-15CD92C9572B}" name="Thrust" dataDxfId="63"/>
    <tableColumn id="5" xr3:uid="{DD6198C2-6ECE-4022-B391-7F741911B5E7}" name="Blood" dataDxfId="62"/>
    <tableColumn id="6" xr3:uid="{C333975D-AAD9-4478-B8B7-6A029BFA80E5}" name="Arcane" dataDxfId="61"/>
    <tableColumn id="7" xr3:uid="{62D34493-68E3-4359-93CB-B5DDD7B2BB0C}" name="Fire" dataDxfId="60"/>
    <tableColumn id="8" xr3:uid="{05BD0B55-EAAA-4DF1-B875-0FDEAD4C9C2D}" name="Bolt" dataDxfId="59"/>
    <tableColumn id="9" xr3:uid="{2C45353E-71E9-476B-8208-6C77435690B7}" name="Slow_x000a_Poison" dataDxfId="58"/>
    <tableColumn id="10" xr3:uid="{49E66ECE-75B6-4E6D-B8F3-668C49CF4758}" name="Rapid_x000a_Poison" dataDxfId="57"/>
    <tableColumn id="11" xr3:uid="{5AC354D0-2728-42CB-AF6A-799A0D7540FB}" name="Frenzy" dataDxfId="56"/>
    <tableColumn id="12" xr3:uid="{E254B84C-BCE7-4251-A588-98BD662B45AF}" name="Beasthood" dataDxfId="55"/>
    <tableColumn id="13" xr3:uid="{48670F52-7AA7-4308-8A32-22482D15EB01}" name="TOTAL" dataDxfId="54">
      <calculatedColumnFormula>SUMPRODUCT(Table4[[#This Row],[Physical]:[Beasthood]],Utility!$H$9:$R$9)</calculatedColumnFormula>
    </tableColumn>
    <tableColumn id="15" xr3:uid="{D689704A-9574-4CE9-8F9C-38DA60307FD6}" name="RAW SUM" dataDxfId="53">
      <calculatedColumnFormula>SUM(Table4[[#This Row],[Physical]:[Frenzy]])</calculatedColumnFormula>
    </tableColumn>
    <tableColumn id="14" xr3:uid="{A003169A-9D79-4808-B00E-D0CC52CDFCAC}" name="PODIUM" dataDxfId="52">
      <calculatedColumnFormula>RANK(Table4[[#This Row],[TOTAL]],Table4[TOTAL])</calculatedColumnFormula>
    </tableColumn>
    <tableColumn id="16" xr3:uid="{12E12AB2-4EFC-4F7C-8B25-F7BFEB047CB4}" name="HELPER" dataDxfId="51">
      <calculatedColumnFormula>RANK(O2,$O$2:$O$100,1)+COUNTIF($O$1:O1,O2)</calculatedColumnFormula>
    </tableColumn>
    <tableColumn id="17" xr3:uid="{3D22C73D-C0AE-4372-B667-2B0F5189DA6C}" name="PRI_STAT" dataDxfId="50">
      <calculatedColumnFormula array="1">INDEX($B2:$L2, 1, VLOOKUP(Config!$B$2, Config!$E$2:$F$12, 2, FALSE)-1)</calculatedColumnFormula>
    </tableColumn>
    <tableColumn id="18" xr3:uid="{A96B8A43-9A9C-4D19-956B-D77E9E59D5AE}" name="TIE_STAT" dataDxfId="49">
      <calculatedColumnFormula array="1">INDEX($B2:$L2, 1, VLOOKUP(Config!$B$3, Config!$E$2:$F$12, 2, FALSE)-1)</calculatedColumnFormula>
    </tableColumn>
    <tableColumn id="19" xr3:uid="{3D60ADDB-2C3A-46AF-964D-D88A46CA585B}" name="COMP_A" dataDxfId="48">
      <calculatedColumnFormula>Q2*1000000 + R2*1000 + N2</calculatedColumnFormula>
    </tableColumn>
    <tableColumn id="20" xr3:uid="{A8058949-8E1F-4F1F-A8DC-933BA2519C40}" name="RANK_A" dataDxfId="47">
      <calculatedColumnFormula>RANK(S2, $S$2:$S$100, 0)</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D99154-205B-4785-9BE9-0C9DF3C306D1}" name="Table5" displayName="Table5" ref="A1:T32" totalsRowShown="0">
  <autoFilter ref="A1:T32" xr:uid="{C6D99154-205B-4785-9BE9-0C9DF3C306D1}"/>
  <sortState xmlns:xlrd2="http://schemas.microsoft.com/office/spreadsheetml/2017/richdata2" ref="A2:O32">
    <sortCondition ref="A1:A32"/>
  </sortState>
  <tableColumns count="20">
    <tableColumn id="1" xr3:uid="{97E9FB70-DD29-421B-B911-6C75EE4DFFFC}" name="Item name" dataDxfId="46"/>
    <tableColumn id="2" xr3:uid="{9C8CBF7C-8F40-4D7C-8229-7BB6960E0111}" name="Physical" dataDxfId="45"/>
    <tableColumn id="3" xr3:uid="{2036225B-3D30-46F0-A56E-880C23776C16}" name="Blunt" dataDxfId="44"/>
    <tableColumn id="4" xr3:uid="{C48C7360-6FE2-486D-A866-53CF95517020}" name="Thrust" dataDxfId="43"/>
    <tableColumn id="5" xr3:uid="{6FCCD4A3-3785-4226-852B-3AA03902DB19}" name="Blood" dataDxfId="42"/>
    <tableColumn id="6" xr3:uid="{66028947-B1DC-4EAD-B195-0AE4721A5C3D}" name="Arcane" dataDxfId="41"/>
    <tableColumn id="7" xr3:uid="{838AB3C3-3E95-40CB-B42B-DA958C7ED447}" name="Fire" dataDxfId="40"/>
    <tableColumn id="8" xr3:uid="{A6F55310-F12F-46C8-9E6D-4999CC376766}" name="Bolt" dataDxfId="39"/>
    <tableColumn id="9" xr3:uid="{D28231FD-BA20-4D80-AF4E-8C5702CD0761}" name="Slow_x000a_Poison" dataDxfId="38"/>
    <tableColumn id="10" xr3:uid="{0D43E4A1-CD0F-4B9A-A37C-6E03AD2F7A5A}" name="Rapid_x000a_Poison" dataDxfId="37"/>
    <tableColumn id="11" xr3:uid="{DEED4D54-2D9E-49CF-8D3D-AD50769B6E28}" name="Frenzy" dataDxfId="36"/>
    <tableColumn id="12" xr3:uid="{EEA6215F-9102-4762-A769-C1FD06D0DEC5}" name="Beasthood" dataDxfId="35"/>
    <tableColumn id="13" xr3:uid="{FDA68A65-D81A-4047-A7DC-72BF505FF94E}" name="TOTAL" dataDxfId="34">
      <calculatedColumnFormula>SUMPRODUCT(Table5[[#This Row],[Physical]:[Beasthood]],Utility!$H$9:$R$9)</calculatedColumnFormula>
    </tableColumn>
    <tableColumn id="15" xr3:uid="{012EA607-828A-4DF4-8575-95274A54F86D}" name="RAW SUM" dataDxfId="33">
      <calculatedColumnFormula>SUM(Table5[[#This Row],[Physical]:[Frenzy]])</calculatedColumnFormula>
    </tableColumn>
    <tableColumn id="14" xr3:uid="{9C82D746-12F7-4D33-BE7C-5F7582CFA200}" name="PODIUM" dataDxfId="32">
      <calculatedColumnFormula>RANK(Table5[[#This Row],[TOTAL]],Table5[TOTAL])</calculatedColumnFormula>
    </tableColumn>
    <tableColumn id="16" xr3:uid="{8992021E-8C54-48AF-A715-D2E081B3EF11}" name="HELPER" dataDxfId="31">
      <calculatedColumnFormula>RANK(O2,$O$2:$O$100,1)+COUNTIF($O$1:O1,O2)</calculatedColumnFormula>
    </tableColumn>
    <tableColumn id="17" xr3:uid="{EE215D62-44F6-4FE7-BDC6-B51FB9668977}" name="PRI_STAT" dataDxfId="30">
      <calculatedColumnFormula array="1">INDEX($B2:$L2, 1, VLOOKUP(Config!$B$2, Config!$E$2:$F$12, 2, FALSE)-1)</calculatedColumnFormula>
    </tableColumn>
    <tableColumn id="18" xr3:uid="{32C5AD43-B48E-46D3-A23E-A6A4FD6B7E39}" name="TIE_STAT" dataDxfId="29">
      <calculatedColumnFormula array="1">INDEX($B2:$L2, 1, VLOOKUP(Config!$B$3, Config!$E$2:$F$12, 2, FALSE)-1)</calculatedColumnFormula>
    </tableColumn>
    <tableColumn id="19" xr3:uid="{B2944786-219D-4913-AFBE-CEE7783C0BB0}" name="COMP_A" dataDxfId="28">
      <calculatedColumnFormula>Q2*1000000 + R2*1000 + N2</calculatedColumnFormula>
    </tableColumn>
    <tableColumn id="20" xr3:uid="{836C7250-C7E9-45B2-8492-EB5FA193A914}" name="RANK_A" dataDxfId="27">
      <calculatedColumnFormula>RANK(S2, $S$2:$S$100, 0)</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E86E2D-70E2-42D5-AA84-188F3E47E421}" name="Table6" displayName="Table6" ref="A1:T34" totalsRowShown="0" headerRowDxfId="25" headerRowBorderDxfId="24" tableBorderDxfId="23" totalsRowBorderDxfId="22" dataCellStyle="Normal">
  <autoFilter ref="A1:T34" xr:uid="{97E86E2D-70E2-42D5-AA84-188F3E47E421}"/>
  <tableColumns count="20">
    <tableColumn id="1" xr3:uid="{3CB58083-4C1C-4600-B2E8-1A1BEBD5176D}" name="Full Set Name" dataDxfId="21" dataCellStyle="Normal"/>
    <tableColumn id="3" xr3:uid="{C878740C-098D-4C9E-B152-8E76618A65BE}" name="Physical" dataDxfId="20" dataCellStyle="Normal"/>
    <tableColumn id="4" xr3:uid="{2187EDCA-C937-4D1D-9B7F-BE13FC7FD11F}" name="Blunt" dataDxfId="19" dataCellStyle="Normal"/>
    <tableColumn id="5" xr3:uid="{ED94EE22-D736-44D7-9289-6983185FFE27}" name="Thrust" dataDxfId="18" dataCellStyle="Normal"/>
    <tableColumn id="6" xr3:uid="{4D033932-C4CB-481D-93B2-453D10DBE6CC}" name="Blood" dataDxfId="17" dataCellStyle="Normal"/>
    <tableColumn id="7" xr3:uid="{BE15A237-DB33-4823-A6E8-3A1FE1BD57C0}" name="Arcane" dataDxfId="16" dataCellStyle="Normal"/>
    <tableColumn id="8" xr3:uid="{E72CD7BC-4162-49CA-B115-7439A7FADCE6}" name="Fire" dataDxfId="15" dataCellStyle="Normal"/>
    <tableColumn id="9" xr3:uid="{D12468B1-E057-4FA5-8FE9-D9F2FE5118B9}" name="Bolt" dataDxfId="14" dataCellStyle="Normal"/>
    <tableColumn id="10" xr3:uid="{1EEA7378-DDDE-4A1A-8A3E-6A3BD4AAC123}" name="Slow_x000a_Poison" dataDxfId="13" dataCellStyle="Normal"/>
    <tableColumn id="11" xr3:uid="{1F75F411-3F1B-415E-90F1-23DB0C6E79CA}" name="Rapid_x000a_Poison" dataDxfId="12" dataCellStyle="Normal"/>
    <tableColumn id="12" xr3:uid="{0FC95D59-6E83-42E9-BC8F-FB0CDEDE97F9}" name="Frenzy" dataDxfId="11" dataCellStyle="Normal"/>
    <tableColumn id="13" xr3:uid="{2D6B152C-DEC2-466D-8358-69A0F76D750B}" name="Beasthood" dataDxfId="10" dataCellStyle="Normal"/>
    <tableColumn id="21" xr3:uid="{3A9F0133-6448-42B2-960B-8B9E21A022A2}" name="TOTAL" dataDxfId="9" dataCellStyle="Normal">
      <calculatedColumnFormula>SUMPRODUCT(Table6[[#This Row],[Physical]:[Beasthood]],Utility!$H$9:$R$9)</calculatedColumnFormula>
    </tableColumn>
    <tableColumn id="22" xr3:uid="{BE79F653-E683-4F3E-8A06-EA1440372F2D}" name="RAW SUM" dataDxfId="8" dataCellStyle="Normal">
      <calculatedColumnFormula>SUM(Table6[[#This Row],[Physical]:[Frenzy]])</calculatedColumnFormula>
    </tableColumn>
    <tableColumn id="23" xr3:uid="{97F28D4E-2397-41FB-A89D-1428CC58827C}" name="PODIUM" dataDxfId="7" dataCellStyle="Normal">
      <calculatedColumnFormula>RANK(Table6[[#This Row],[TOTAL]],Table6[TOTAL])</calculatedColumnFormula>
    </tableColumn>
    <tableColumn id="24" xr3:uid="{3E635070-9BDF-4827-9396-709F03576990}" name="HELPER" dataDxfId="6" dataCellStyle="Normal">
      <calculatedColumnFormula>RANK(O2,$O$2:$O$100,1)+COUNTIF($O$1:O1,O2)</calculatedColumnFormula>
    </tableColumn>
    <tableColumn id="25" xr3:uid="{0B9C99ED-E213-46A8-9FA0-BFE1FE7C4DAC}" name="PRI_STAT" dataDxfId="5" dataCellStyle="Normal">
      <calculatedColumnFormula array="1">INDEX($B2:$L2, 1, VLOOKUP(Config!$B$2, Config!$E$2:$F$12, 2, FALSE)-1)</calculatedColumnFormula>
    </tableColumn>
    <tableColumn id="26" xr3:uid="{68B9D037-81E5-4E38-A959-360E5AE8BF13}" name="TIE_STAT" dataDxfId="4" dataCellStyle="Normal">
      <calculatedColumnFormula array="1">INDEX($B2:$L2, 1, VLOOKUP(Config!$B$3, Config!$E$2:$F$12, 2, FALSE)-1)</calculatedColumnFormula>
    </tableColumn>
    <tableColumn id="27" xr3:uid="{5193BD6C-59A5-4895-843B-C6231E340031}" name="COMP_A" dataDxfId="3" dataCellStyle="Normal">
      <calculatedColumnFormula>Q2*1000000 + R2*1000 + N2</calculatedColumnFormula>
    </tableColumn>
    <tableColumn id="28" xr3:uid="{8BB0BF69-6C29-44B5-918D-4C019D88C1DB}" name="RANK_A" dataDxfId="2" dataCellStyle="Normal">
      <calculatedColumnFormula>RANK(S2, $S$2:$S$100, 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18015-147E-4818-8745-A379D1415D9B}">
  <sheetPr codeName="Sheet1"/>
  <dimension ref="B2:S9"/>
  <sheetViews>
    <sheetView workbookViewId="0">
      <selection activeCell="B13" sqref="B13"/>
    </sheetView>
  </sheetViews>
  <sheetFormatPr defaultRowHeight="14.5" x14ac:dyDescent="0.35"/>
  <cols>
    <col min="2" max="2" width="55" customWidth="1"/>
    <col min="3" max="3" width="29.54296875" customWidth="1"/>
    <col min="5" max="5" width="7.453125" customWidth="1"/>
    <col min="6" max="6" width="25.453125" customWidth="1"/>
    <col min="7" max="7" width="13.453125" customWidth="1"/>
    <col min="8" max="8" width="13.81640625" customWidth="1"/>
    <col min="16" max="16" width="13.1796875" customWidth="1"/>
    <col min="17" max="17" width="13.6328125" customWidth="1"/>
  </cols>
  <sheetData>
    <row r="2" spans="2:19" ht="23.5" x14ac:dyDescent="0.55000000000000004">
      <c r="B2" s="51" t="s">
        <v>157</v>
      </c>
    </row>
    <row r="3" spans="2:19" ht="89" x14ac:dyDescent="0.55000000000000004">
      <c r="B3" s="52" t="s">
        <v>158</v>
      </c>
      <c r="C3" s="35" t="s">
        <v>159</v>
      </c>
      <c r="F3" s="56" t="s">
        <v>162</v>
      </c>
    </row>
    <row r="4" spans="2:19" x14ac:dyDescent="0.35">
      <c r="C4" s="53" t="s">
        <v>161</v>
      </c>
      <c r="D4" s="14"/>
      <c r="E4" s="7" t="s">
        <v>160</v>
      </c>
      <c r="F4" s="55" t="s">
        <v>141</v>
      </c>
      <c r="G4" s="7" t="s">
        <v>142</v>
      </c>
      <c r="H4" s="7" t="s">
        <v>143</v>
      </c>
      <c r="I4" s="7" t="s">
        <v>0</v>
      </c>
      <c r="J4" s="7" t="s">
        <v>1</v>
      </c>
      <c r="K4" s="7" t="s">
        <v>2</v>
      </c>
      <c r="L4" s="7" t="s">
        <v>3</v>
      </c>
      <c r="M4" s="7" t="s">
        <v>4</v>
      </c>
      <c r="N4" s="7" t="s">
        <v>5</v>
      </c>
      <c r="O4" s="7" t="s">
        <v>6</v>
      </c>
      <c r="P4" s="7" t="s">
        <v>7</v>
      </c>
      <c r="Q4" s="7" t="s">
        <v>8</v>
      </c>
      <c r="R4" s="7" t="s">
        <v>9</v>
      </c>
      <c r="S4" s="7" t="s">
        <v>10</v>
      </c>
    </row>
    <row r="5" spans="2:19" ht="16" x14ac:dyDescent="0.35">
      <c r="B5" s="102" t="s">
        <v>195</v>
      </c>
      <c r="C5" s="8">
        <f ca="1">MATCH(MIN(INDIRECT("'"&amp;$D5&amp;"'!O:O")), INDIRECT("'"&amp;$D5&amp;"'!O:O"), 0)</f>
        <v>19</v>
      </c>
      <c r="D5" s="15" t="s">
        <v>146</v>
      </c>
      <c r="E5" s="44" cm="1">
        <f t="array" aca="1" ref="E5" ca="1">INDEX(INDIRECT("'"&amp;$D5&amp;"'!O:O"), $C5)</f>
        <v>1</v>
      </c>
      <c r="F5" s="87" t="str" cm="1">
        <f t="array" aca="1" ref="F5" ca="1">INDEX(INDIRECT("'"&amp;$D5&amp;"'!A:A"), $C5)</f>
        <v>Harrowed Hood</v>
      </c>
      <c r="G5" s="16" cm="1">
        <f t="array" aca="1" ref="G5" ca="1">INDIRECT("'"&amp;$D5&amp;"'!N"&amp;$C5)</f>
        <v>391</v>
      </c>
      <c r="H5" s="57" cm="1">
        <f t="array" aca="1" ref="H5" ca="1">INDIRECT("'"&amp;$D5&amp;"'!M"&amp;$C5)</f>
        <v>224.5</v>
      </c>
      <c r="I5" s="16" cm="1">
        <f t="array" aca="1" ref="I5" ca="1">INDEX(INDIRECT("'"&amp;$D5&amp;"'!B:B"), $C5)</f>
        <v>60</v>
      </c>
      <c r="J5" s="16" cm="1">
        <f t="array" aca="1" ref="J5" ca="1">INDEX(INDIRECT("'"&amp;$D5&amp;"'!C:C"), $C5)</f>
        <v>40</v>
      </c>
      <c r="K5" s="16" cm="1">
        <f t="array" aca="1" ref="K5" ca="1">INDEX(INDIRECT("'"&amp;$D5&amp;"'!D:D"), $C5)</f>
        <v>50</v>
      </c>
      <c r="L5" s="16" cm="1">
        <f t="array" aca="1" ref="L5" ca="1">INDEX(INDIRECT("'"&amp;$D5&amp;"'!E:E"), $C5)</f>
        <v>40</v>
      </c>
      <c r="M5" s="16" cm="1">
        <f t="array" aca="1" ref="M5" ca="1">INDEX(INDIRECT("'"&amp;$D5&amp;"'!F:F"), $C5)</f>
        <v>60</v>
      </c>
      <c r="N5" s="16" cm="1">
        <f t="array" aca="1" ref="N5" ca="1">INDEX(INDIRECT("'"&amp;$D5&amp;"'!G:G"), $C5)</f>
        <v>50</v>
      </c>
      <c r="O5" s="16" cm="1">
        <f t="array" aca="1" ref="O5" ca="1">INDEX(INDIRECT("'"&amp;$D5&amp;"'!H:H"), $C5)</f>
        <v>50</v>
      </c>
      <c r="P5" s="16" cm="1">
        <f t="array" aca="1" ref="P5" ca="1">INDEX(INDIRECT("'"&amp;$D5&amp;"'!I:I"), $C5)</f>
        <v>20</v>
      </c>
      <c r="Q5" s="18" cm="1">
        <f t="array" aca="1" ref="Q5" ca="1">INDIRECT("'"&amp;$D5&amp;"'!J"&amp;$C5)</f>
        <v>19</v>
      </c>
      <c r="R5" s="16" cm="1">
        <f t="array" aca="1" ref="R5" ca="1">INDIRECT("'"&amp;$D5&amp;"'!K"&amp;$C5)</f>
        <v>2</v>
      </c>
      <c r="S5" s="16" cm="1">
        <f t="array" aca="1" ref="S5" ca="1">INDIRECT("'"&amp;$D5&amp;"'!L"&amp;$C5)</f>
        <v>18</v>
      </c>
    </row>
    <row r="6" spans="2:19" ht="16" x14ac:dyDescent="0.35">
      <c r="B6" s="102"/>
      <c r="C6" s="8">
        <f t="shared" ref="C6:C8" ca="1" si="0">MATCH(MIN(INDIRECT("'"&amp;$D6&amp;"'!O:O")), INDIRECT("'"&amp;$D6&amp;"'!O:O"), 0)</f>
        <v>14</v>
      </c>
      <c r="D6" s="19" t="s">
        <v>147</v>
      </c>
      <c r="E6" s="30" cm="1">
        <f t="array" aca="1" ref="E6" ca="1">INDEX(INDIRECT("'"&amp;$D6&amp;"'!O:O"), $C6)</f>
        <v>1</v>
      </c>
      <c r="F6" s="88" t="str" cm="1">
        <f t="array" aca="1" ref="F6" ca="1">INDEX(INDIRECT("'"&amp;$D6&amp;"'!A:A"), $C6)</f>
        <v>Executioner Garb</v>
      </c>
      <c r="G6" s="20" cm="1">
        <f t="array" aca="1" ref="G6" ca="1">INDIRECT("'"&amp;$D6&amp;"'!N"&amp;$C6)</f>
        <v>835</v>
      </c>
      <c r="H6" s="57" cm="1">
        <f t="array" aca="1" ref="H6" ca="1">INDIRECT("'"&amp;$D6&amp;"'!M"&amp;$C6)</f>
        <v>454.1</v>
      </c>
      <c r="I6" s="20" cm="1">
        <f t="array" aca="1" ref="I6" ca="1">INDEX(INDIRECT("'"&amp;$D6&amp;"'!B:B"), $C6)</f>
        <v>90</v>
      </c>
      <c r="J6" s="20" cm="1">
        <f t="array" aca="1" ref="J6" ca="1">INDEX(INDIRECT("'"&amp;$D6&amp;"'!C:C"), $C6)</f>
        <v>120</v>
      </c>
      <c r="K6" s="20" cm="1">
        <f t="array" aca="1" ref="K6" ca="1">INDEX(INDIRECT("'"&amp;$D6&amp;"'!D:D"), $C6)</f>
        <v>110</v>
      </c>
      <c r="L6" s="20" cm="1">
        <f t="array" aca="1" ref="L6" ca="1">INDEX(INDIRECT("'"&amp;$D6&amp;"'!E:E"), $C6)</f>
        <v>100</v>
      </c>
      <c r="M6" s="20" cm="1">
        <f t="array" aca="1" ref="M6" ca="1">INDEX(Table2[Arcane], $C$5)</f>
        <v>20</v>
      </c>
      <c r="N6" s="20" cm="1">
        <f t="array" aca="1" ref="N6" ca="1">INDEX(Table2[Fire], $C$5)</f>
        <v>30</v>
      </c>
      <c r="O6" s="20" cm="1">
        <f t="array" aca="1" ref="O6" ca="1">INDEX(INDIRECT("'"&amp;$D6&amp;"'!H:H"), $C6)</f>
        <v>100</v>
      </c>
      <c r="P6" s="20" cm="1">
        <f t="array" aca="1" ref="P6" ca="1">INDEX(INDIRECT("'"&amp;$D6&amp;"'!I:I"), $C6)</f>
        <v>53</v>
      </c>
      <c r="Q6" s="22" cm="1">
        <f t="array" aca="1" ref="Q6" ca="1">INDIRECT("'"&amp;$D6&amp;"'!J"&amp;$C6)</f>
        <v>45</v>
      </c>
      <c r="R6" s="20" cm="1">
        <f t="array" aca="1" ref="R6" ca="1">INDIRECT("'"&amp;$D6&amp;"'!K"&amp;$C6)</f>
        <v>17</v>
      </c>
      <c r="S6" s="20" cm="1">
        <f t="array" aca="1" ref="S6" ca="1">INDIRECT("'"&amp;$D6&amp;"'!L"&amp;$C6)</f>
        <v>45</v>
      </c>
    </row>
    <row r="7" spans="2:19" ht="16" x14ac:dyDescent="0.35">
      <c r="B7" s="102"/>
      <c r="C7" s="8">
        <f t="shared" ca="1" si="0"/>
        <v>9</v>
      </c>
      <c r="D7" s="15" t="s">
        <v>139</v>
      </c>
      <c r="E7" s="44" cm="1">
        <f t="array" aca="1" ref="E7" ca="1">INDEX(INDIRECT("'"&amp;$D7&amp;"'!O:O"), $C7)</f>
        <v>1</v>
      </c>
      <c r="F7" s="88" t="str" cm="1">
        <f t="array" aca="1" ref="F7" ca="1">INDEX(INDIRECT("'"&amp;$D7&amp;"'!A:A"), $C7)</f>
        <v>Constable's Gloves</v>
      </c>
      <c r="G7" s="16" cm="1">
        <f t="array" aca="1" ref="G7" ca="1">INDIRECT("'"&amp;$D7&amp;"'!N"&amp;$C7)</f>
        <v>451</v>
      </c>
      <c r="H7" s="57" cm="1">
        <f t="array" aca="1" ref="H7" ca="1">INDIRECT("'"&amp;$D7&amp;"'!M"&amp;$C7)</f>
        <v>247.5</v>
      </c>
      <c r="I7" s="16" cm="1">
        <f t="array" aca="1" ref="I7" ca="1">INDEX(INDIRECT("'"&amp;$D7&amp;"'!B:B"), $C7)</f>
        <v>60</v>
      </c>
      <c r="J7" s="16" cm="1">
        <f t="array" aca="1" ref="J7" ca="1">INDEX(INDIRECT("'"&amp;$D7&amp;"'!C:C"), $C7)</f>
        <v>60</v>
      </c>
      <c r="K7" s="16" cm="1">
        <f t="array" aca="1" ref="K7" ca="1">INDEX(INDIRECT("'"&amp;$D7&amp;"'!D:D"), $C7)</f>
        <v>50</v>
      </c>
      <c r="L7" s="16" cm="1">
        <f t="array" aca="1" ref="L7" ca="1">INDEX(INDIRECT("'"&amp;$D7&amp;"'!E:E"), $C7)</f>
        <v>50</v>
      </c>
      <c r="M7" s="16" cm="1">
        <f t="array" aca="1" ref="M7" ca="1">INDEX(Table2[Arcane], $C$5)</f>
        <v>20</v>
      </c>
      <c r="N7" s="16" cm="1">
        <f t="array" aca="1" ref="N7" ca="1">INDEX(Table2[Fire], $C$5)</f>
        <v>30</v>
      </c>
      <c r="O7" s="16" cm="1">
        <f t="array" aca="1" ref="O7" ca="1">INDEX(INDIRECT("'"&amp;$D7&amp;"'!H:H"), $C7)</f>
        <v>60</v>
      </c>
      <c r="P7" s="16" cm="1">
        <f t="array" aca="1" ref="P7" ca="1">INDEX(INDIRECT("'"&amp;$D7&amp;"'!I:I"), $C7)</f>
        <v>32</v>
      </c>
      <c r="Q7" s="18" cm="1">
        <f t="array" aca="1" ref="Q7" ca="1">INDIRECT("'"&amp;$D7&amp;"'!J"&amp;$C7)</f>
        <v>17</v>
      </c>
      <c r="R7" s="16" cm="1">
        <f t="array" aca="1" ref="R7" ca="1">INDIRECT("'"&amp;$D7&amp;"'!K"&amp;$C7)</f>
        <v>12</v>
      </c>
      <c r="S7" s="16" cm="1">
        <f t="array" aca="1" ref="S7" ca="1">INDIRECT("'"&amp;$D7&amp;"'!L"&amp;$C7)</f>
        <v>31</v>
      </c>
    </row>
    <row r="8" spans="2:19" ht="16.5" thickBot="1" x14ac:dyDescent="0.4">
      <c r="B8" s="102"/>
      <c r="C8" s="8">
        <f t="shared" ca="1" si="0"/>
        <v>20</v>
      </c>
      <c r="D8" s="98" t="s">
        <v>140</v>
      </c>
      <c r="E8" s="54" cm="1">
        <f t="array" aca="1" ref="E8" ca="1">INDEX(INDIRECT("'"&amp;$D8&amp;"'!O:O"), $C8)</f>
        <v>1</v>
      </c>
      <c r="F8" s="89" t="str" cm="1">
        <f t="array" aca="1" ref="F8" ca="1">INDEX(INDIRECT("'"&amp;$D8&amp;"'!A:A"), $C8)</f>
        <v>Harrowed Trousers</v>
      </c>
      <c r="G8" s="24" cm="1">
        <f t="array" aca="1" ref="G8" ca="1">INDIRECT("'"&amp;$D8&amp;"'!N"&amp;$C8)</f>
        <v>486</v>
      </c>
      <c r="H8" s="58" cm="1">
        <f t="array" aca="1" ref="H8" ca="1">INDIRECT("'"&amp;$D8&amp;"'!M"&amp;$C8)</f>
        <v>259.5</v>
      </c>
      <c r="I8" s="24" cm="1">
        <f t="array" aca="1" ref="I8" ca="1">INDEX(INDIRECT("'"&amp;$D8&amp;"'!B:B"), $C8)</f>
        <v>70</v>
      </c>
      <c r="J8" s="24" cm="1">
        <f t="array" aca="1" ref="J8" ca="1">INDEX(INDIRECT("'"&amp;$D8&amp;"'!C:C"), $C8)</f>
        <v>50</v>
      </c>
      <c r="K8" s="24" cm="1">
        <f t="array" aca="1" ref="K8" ca="1">INDEX(INDIRECT("'"&amp;$D8&amp;"'!D:D"), $C8)</f>
        <v>50</v>
      </c>
      <c r="L8" s="24" cm="1">
        <f t="array" aca="1" ref="L8" ca="1">INDEX(INDIRECT("'"&amp;$D8&amp;"'!E:E"), $C8)</f>
        <v>60</v>
      </c>
      <c r="M8" s="24" cm="1">
        <f t="array" aca="1" ref="M8" ca="1">INDEX(Table2[Arcane], $C$5)</f>
        <v>20</v>
      </c>
      <c r="N8" s="24" cm="1">
        <f t="array" aca="1" ref="N8" ca="1">INDEX(Table2[Fire], $C$5)</f>
        <v>30</v>
      </c>
      <c r="O8" s="24" cm="1">
        <f t="array" aca="1" ref="O8" ca="1">INDEX(INDIRECT("'"&amp;$D8&amp;"'!H:H"), $C8)</f>
        <v>60</v>
      </c>
      <c r="P8" s="24" cm="1">
        <f t="array" aca="1" ref="P8" ca="1">INDEX(INDIRECT("'"&amp;$D8&amp;"'!I:I"), $C8)</f>
        <v>38</v>
      </c>
      <c r="Q8" s="25" cm="1">
        <f t="array" aca="1" ref="Q8" ca="1">INDIRECT("'"&amp;$D8&amp;"'!J"&amp;$C8)</f>
        <v>33</v>
      </c>
      <c r="R8" s="24" cm="1">
        <f t="array" aca="1" ref="R8" ca="1">INDIRECT("'"&amp;$D8&amp;"'!K"&amp;$C8)</f>
        <v>5</v>
      </c>
      <c r="S8" s="24" cm="1">
        <f t="array" aca="1" ref="S8" ca="1">INDIRECT("'"&amp;$D8&amp;"'!L"&amp;$C8)</f>
        <v>27</v>
      </c>
    </row>
    <row r="9" spans="2:19" ht="21.5" thickTop="1" x14ac:dyDescent="0.5">
      <c r="D9" s="99" t="s">
        <v>47</v>
      </c>
      <c r="E9" s="78"/>
      <c r="F9" s="78"/>
      <c r="G9" s="101">
        <f t="shared" ref="G9:H9" ca="1" si="1">SUM(G5:G8)</f>
        <v>2163</v>
      </c>
      <c r="H9" s="100">
        <f t="shared" ca="1" si="1"/>
        <v>1185.5999999999999</v>
      </c>
      <c r="I9" s="79">
        <f ca="1">SUM(I5:I8)</f>
        <v>280</v>
      </c>
      <c r="J9" s="79">
        <f t="shared" ref="J9:S9" ca="1" si="2">SUM(J5:J8)</f>
        <v>270</v>
      </c>
      <c r="K9" s="79">
        <f t="shared" ca="1" si="2"/>
        <v>260</v>
      </c>
      <c r="L9" s="79">
        <f t="shared" ca="1" si="2"/>
        <v>250</v>
      </c>
      <c r="M9" s="79">
        <f t="shared" ca="1" si="2"/>
        <v>120</v>
      </c>
      <c r="N9" s="79">
        <f t="shared" ca="1" si="2"/>
        <v>140</v>
      </c>
      <c r="O9" s="79">
        <f t="shared" ca="1" si="2"/>
        <v>270</v>
      </c>
      <c r="P9" s="79">
        <f t="shared" ca="1" si="2"/>
        <v>143</v>
      </c>
      <c r="Q9" s="79">
        <f t="shared" ca="1" si="2"/>
        <v>114</v>
      </c>
      <c r="R9" s="79">
        <f t="shared" ca="1" si="2"/>
        <v>36</v>
      </c>
      <c r="S9" s="79">
        <f t="shared" ca="1" si="2"/>
        <v>121</v>
      </c>
    </row>
  </sheetData>
  <mergeCells count="1">
    <mergeCell ref="B5:B8"/>
  </mergeCells>
  <conditionalFormatting sqref="I5:S5">
    <cfRule type="colorScale" priority="2">
      <colorScale>
        <cfvo type="min"/>
        <cfvo type="max"/>
        <color theme="7" tint="0.79998168889431442"/>
        <color theme="7" tint="0.39997558519241921"/>
      </colorScale>
    </cfRule>
    <cfRule type="colorScale" priority="7">
      <colorScale>
        <cfvo type="min"/>
        <cfvo type="max"/>
        <color theme="4" tint="0.79998168889431442"/>
        <color theme="4" tint="0.39997558519241921"/>
      </colorScale>
    </cfRule>
  </conditionalFormatting>
  <conditionalFormatting sqref="I6:S6">
    <cfRule type="colorScale" priority="5">
      <colorScale>
        <cfvo type="min"/>
        <cfvo type="max"/>
        <color theme="5" tint="0.79998168889431442"/>
        <color theme="5" tint="0.39997558519241921"/>
      </colorScale>
    </cfRule>
    <cfRule type="colorScale" priority="6">
      <colorScale>
        <cfvo type="min"/>
        <cfvo type="max"/>
        <color theme="5" tint="0.79998168889431442"/>
        <color theme="5" tint="-0.249977111117893"/>
      </colorScale>
    </cfRule>
  </conditionalFormatting>
  <conditionalFormatting sqref="I7:S7">
    <cfRule type="colorScale" priority="4">
      <colorScale>
        <cfvo type="min"/>
        <cfvo type="max"/>
        <color theme="7" tint="0.79998168889431442"/>
        <color theme="7" tint="0.39997558519241921"/>
      </colorScale>
    </cfRule>
  </conditionalFormatting>
  <conditionalFormatting sqref="I8:S8">
    <cfRule type="colorScale" priority="3">
      <colorScale>
        <cfvo type="min"/>
        <cfvo type="max"/>
        <color theme="5" tint="0.79998168889431442"/>
        <color theme="5" tint="0.39997558519241921"/>
      </colorScale>
    </cfRule>
  </conditionalFormatting>
  <conditionalFormatting sqref="I9:S9">
    <cfRule type="colorScale" priority="1">
      <colorScale>
        <cfvo type="min"/>
        <cfvo type="max"/>
        <color rgb="FFFCFCFF"/>
        <color rgb="FF63BE7B"/>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C19C3-FA61-431E-9C4F-553196BA6567}">
  <sheetPr codeName="Sheet2"/>
  <dimension ref="A1:X52"/>
  <sheetViews>
    <sheetView workbookViewId="0">
      <selection activeCell="A10" sqref="A10:S13"/>
    </sheetView>
  </sheetViews>
  <sheetFormatPr defaultRowHeight="14.5" x14ac:dyDescent="0.35"/>
  <cols>
    <col min="3" max="3" width="50.453125" customWidth="1"/>
    <col min="6" max="6" width="22.81640625" customWidth="1"/>
    <col min="7" max="7" width="10.1796875" customWidth="1"/>
    <col min="8" max="8" width="13.7265625" customWidth="1"/>
    <col min="16" max="16" width="11.26953125" customWidth="1"/>
    <col min="17" max="17" width="11" customWidth="1"/>
  </cols>
  <sheetData>
    <row r="1" spans="1:24" ht="14.5" customHeight="1" x14ac:dyDescent="0.35">
      <c r="A1" s="103" t="s">
        <v>193</v>
      </c>
      <c r="B1" s="103"/>
      <c r="C1" s="103"/>
      <c r="D1" s="103"/>
      <c r="E1" s="103"/>
      <c r="F1" s="103"/>
      <c r="G1" s="103"/>
      <c r="H1" s="103"/>
      <c r="I1" s="103"/>
      <c r="J1" s="103"/>
      <c r="K1" s="103"/>
      <c r="L1" s="103"/>
      <c r="M1" s="103"/>
      <c r="N1" s="103"/>
      <c r="O1" s="103"/>
      <c r="P1" s="103"/>
      <c r="Q1" s="103"/>
      <c r="R1" s="103"/>
      <c r="S1" s="103"/>
      <c r="T1" s="104"/>
      <c r="U1" s="104"/>
      <c r="V1" s="104"/>
      <c r="W1" s="104"/>
      <c r="X1" s="104"/>
    </row>
    <row r="2" spans="1:24" x14ac:dyDescent="0.35">
      <c r="A2" s="103"/>
      <c r="B2" s="103"/>
      <c r="C2" s="103"/>
      <c r="D2" s="103"/>
      <c r="E2" s="103"/>
      <c r="F2" s="103"/>
      <c r="G2" s="103"/>
      <c r="H2" s="103"/>
      <c r="I2" s="103"/>
      <c r="J2" s="103"/>
      <c r="K2" s="103"/>
      <c r="L2" s="103"/>
      <c r="M2" s="103"/>
      <c r="N2" s="103"/>
      <c r="O2" s="103"/>
      <c r="P2" s="103"/>
      <c r="Q2" s="103"/>
      <c r="R2" s="103"/>
      <c r="S2" s="103"/>
      <c r="T2" s="104"/>
      <c r="U2" s="104"/>
      <c r="V2" s="104"/>
      <c r="W2" s="104"/>
      <c r="X2" s="104"/>
    </row>
    <row r="3" spans="1:24" x14ac:dyDescent="0.35">
      <c r="A3" s="103"/>
      <c r="B3" s="103"/>
      <c r="C3" s="103"/>
      <c r="D3" s="103"/>
      <c r="E3" s="103"/>
      <c r="F3" s="103"/>
      <c r="G3" s="103"/>
      <c r="H3" s="103"/>
      <c r="I3" s="103"/>
      <c r="J3" s="103"/>
      <c r="K3" s="103"/>
      <c r="L3" s="103"/>
      <c r="M3" s="103"/>
      <c r="N3" s="103"/>
      <c r="O3" s="103"/>
      <c r="P3" s="103"/>
      <c r="Q3" s="103"/>
      <c r="R3" s="103"/>
      <c r="S3" s="103"/>
      <c r="T3" s="104"/>
      <c r="U3" s="104"/>
      <c r="V3" s="104"/>
      <c r="W3" s="104"/>
      <c r="X3" s="104"/>
    </row>
    <row r="4" spans="1:24" ht="47" customHeight="1" x14ac:dyDescent="0.55000000000000004">
      <c r="A4" s="104"/>
      <c r="B4" s="104"/>
      <c r="C4" s="35" t="s">
        <v>151</v>
      </c>
      <c r="D4" s="14" t="s">
        <v>194</v>
      </c>
      <c r="E4" s="7" t="s">
        <v>152</v>
      </c>
      <c r="F4" s="7" t="s">
        <v>141</v>
      </c>
      <c r="G4" s="7" t="s">
        <v>142</v>
      </c>
      <c r="H4" s="85" t="s">
        <v>143</v>
      </c>
      <c r="I4" s="7" t="s">
        <v>0</v>
      </c>
      <c r="J4" s="7" t="s">
        <v>1</v>
      </c>
      <c r="K4" s="7" t="s">
        <v>2</v>
      </c>
      <c r="L4" s="7" t="s">
        <v>3</v>
      </c>
      <c r="M4" s="7" t="s">
        <v>4</v>
      </c>
      <c r="N4" s="7" t="s">
        <v>5</v>
      </c>
      <c r="O4" s="7" t="s">
        <v>6</v>
      </c>
      <c r="P4" s="7" t="s">
        <v>7</v>
      </c>
      <c r="Q4" s="7" t="s">
        <v>8</v>
      </c>
      <c r="R4" s="7" t="s">
        <v>9</v>
      </c>
      <c r="S4" s="7" t="s">
        <v>10</v>
      </c>
      <c r="T4" s="104"/>
      <c r="U4" s="104"/>
      <c r="V4" s="104"/>
      <c r="W4" s="104"/>
      <c r="X4" s="104"/>
    </row>
    <row r="5" spans="1:24" x14ac:dyDescent="0.35">
      <c r="A5" s="105" t="s">
        <v>149</v>
      </c>
      <c r="B5" s="105"/>
      <c r="C5" s="8">
        <f ca="1">MATCH(MIN(INDIRECT("'"&amp;$D5&amp;"'!O:O")), INDIRECT("'"&amp;$D5&amp;"'!O:O"), 0)</f>
        <v>19</v>
      </c>
      <c r="D5" s="15" t="s">
        <v>146</v>
      </c>
      <c r="E5" s="44" cm="1">
        <f t="array" aca="1" ref="E5" ca="1">INDEX(INDIRECT("'"&amp;$D5&amp;"'!O:O"), $C5)</f>
        <v>1</v>
      </c>
      <c r="F5" s="16" t="str" cm="1">
        <f t="array" aca="1" ref="F5" ca="1">INDEX(INDIRECT("'"&amp;$D5&amp;"'!A:A"), $C5)</f>
        <v>Harrowed Hood</v>
      </c>
      <c r="G5" s="16" cm="1">
        <f t="array" aca="1" ref="G5" ca="1">INDIRECT("'"&amp;$D5&amp;"'!N"&amp;$C5)</f>
        <v>391</v>
      </c>
      <c r="H5" s="38" cm="1">
        <f t="array" aca="1" ref="H5" ca="1">INDIRECT("'"&amp;$D5&amp;"'!M"&amp;$C5)</f>
        <v>224.5</v>
      </c>
      <c r="I5" s="16" cm="1">
        <f t="array" aca="1" ref="I5" ca="1">INDEX(INDIRECT("'"&amp;$D5&amp;"'!B:B"), $C5)</f>
        <v>60</v>
      </c>
      <c r="J5" s="16" cm="1">
        <f t="array" aca="1" ref="J5" ca="1">INDEX(INDIRECT("'"&amp;$D5&amp;"'!C:C"), $C5)</f>
        <v>40</v>
      </c>
      <c r="K5" s="16" cm="1">
        <f t="array" aca="1" ref="K5" ca="1">INDEX(INDIRECT("'"&amp;$D5&amp;"'!D:D"), $C5)</f>
        <v>50</v>
      </c>
      <c r="L5" s="16" cm="1">
        <f t="array" aca="1" ref="L5" ca="1">INDEX(INDIRECT("'"&amp;$D5&amp;"'!E:E"), $C5)</f>
        <v>40</v>
      </c>
      <c r="M5" s="16" cm="1">
        <f t="array" aca="1" ref="M5" ca="1">INDEX(INDIRECT("'"&amp;$D5&amp;"'!F:F"), $C5)</f>
        <v>60</v>
      </c>
      <c r="N5" s="16" cm="1">
        <f t="array" aca="1" ref="N5" ca="1">INDEX(INDIRECT("'"&amp;$D5&amp;"'!G:G"), $C5)</f>
        <v>50</v>
      </c>
      <c r="O5" s="16" cm="1">
        <f t="array" aca="1" ref="O5" ca="1">INDEX(INDIRECT("'"&amp;$D5&amp;"'!H:H"), $C5)</f>
        <v>50</v>
      </c>
      <c r="P5" s="16" cm="1">
        <f t="array" aca="1" ref="P5" ca="1">INDEX(INDIRECT("'"&amp;$D5&amp;"'!I:I"), $C5)</f>
        <v>20</v>
      </c>
      <c r="Q5" s="18" cm="1">
        <f t="array" aca="1" ref="Q5" ca="1">INDIRECT("'"&amp;$D5&amp;"'!J"&amp;$C5)</f>
        <v>19</v>
      </c>
      <c r="R5" s="16" cm="1">
        <f t="array" aca="1" ref="R5" ca="1">INDIRECT("'"&amp;$D5&amp;"'!K"&amp;$C5)</f>
        <v>2</v>
      </c>
      <c r="S5" s="16" cm="1">
        <f t="array" aca="1" ref="S5" ca="1">INDIRECT("'"&amp;$D5&amp;"'!L"&amp;$C5)</f>
        <v>18</v>
      </c>
      <c r="T5" s="104"/>
      <c r="U5" s="104"/>
      <c r="V5" s="104"/>
      <c r="W5" s="104"/>
      <c r="X5" s="104"/>
    </row>
    <row r="6" spans="1:24" x14ac:dyDescent="0.35">
      <c r="A6" s="105"/>
      <c r="B6" s="105"/>
      <c r="C6" s="8">
        <f t="shared" ref="C6:C8" ca="1" si="0">MATCH(MIN(INDIRECT("'"&amp;$D6&amp;"'!O:O")), INDIRECT("'"&amp;$D6&amp;"'!O:O"), 0)</f>
        <v>14</v>
      </c>
      <c r="D6" s="19" t="s">
        <v>147</v>
      </c>
      <c r="E6" s="44" cm="1">
        <f t="array" aca="1" ref="E6" ca="1">INDEX(INDIRECT("'"&amp;$D6&amp;"'!O:O"), $C6)</f>
        <v>1</v>
      </c>
      <c r="F6" s="20" t="str" cm="1">
        <f t="array" aca="1" ref="F6" ca="1">INDEX(INDIRECT("'"&amp;$D6&amp;"'!A:A"), $C6)</f>
        <v>Executioner Garb</v>
      </c>
      <c r="G6" s="20" cm="1">
        <f t="array" aca="1" ref="G6" ca="1">INDIRECT("'"&amp;$D6&amp;"'!N"&amp;$C6)</f>
        <v>835</v>
      </c>
      <c r="H6" s="39" cm="1">
        <f t="array" aca="1" ref="H6" ca="1">INDIRECT("'"&amp;$D6&amp;"'!M"&amp;$C6)</f>
        <v>454.1</v>
      </c>
      <c r="I6" s="20" cm="1">
        <f t="array" aca="1" ref="I6" ca="1">INDEX(INDIRECT("'"&amp;$D6&amp;"'!B:B"), $C6)</f>
        <v>90</v>
      </c>
      <c r="J6" s="20" cm="1">
        <f t="array" aca="1" ref="J6" ca="1">INDEX(INDIRECT("'"&amp;$D6&amp;"'!C:C"), $C6)</f>
        <v>120</v>
      </c>
      <c r="K6" s="20" cm="1">
        <f t="array" aca="1" ref="K6" ca="1">INDEX(INDIRECT("'"&amp;$D6&amp;"'!D:D"), $C6)</f>
        <v>110</v>
      </c>
      <c r="L6" s="20" cm="1">
        <f t="array" aca="1" ref="L6" ca="1">INDEX(INDIRECT("'"&amp;$D6&amp;"'!E:E"), $C6)</f>
        <v>100</v>
      </c>
      <c r="M6" s="20" cm="1">
        <f t="array" aca="1" ref="M6" ca="1">INDEX(Table2[Arcane], $C$5)</f>
        <v>20</v>
      </c>
      <c r="N6" s="20" cm="1">
        <f t="array" aca="1" ref="N6" ca="1">INDEX(Table2[Fire], $C$5)</f>
        <v>30</v>
      </c>
      <c r="O6" s="20" cm="1">
        <f t="array" aca="1" ref="O6" ca="1">INDEX(INDIRECT("'"&amp;$D6&amp;"'!H:H"), $C6)</f>
        <v>100</v>
      </c>
      <c r="P6" s="20" cm="1">
        <f t="array" aca="1" ref="P6" ca="1">INDEX(INDIRECT("'"&amp;$D6&amp;"'!I:I"), $C6)</f>
        <v>53</v>
      </c>
      <c r="Q6" s="22" cm="1">
        <f t="array" aca="1" ref="Q6" ca="1">INDIRECT("'"&amp;$D6&amp;"'!J"&amp;$C6)</f>
        <v>45</v>
      </c>
      <c r="R6" s="20" cm="1">
        <f t="array" aca="1" ref="R6" ca="1">INDIRECT("'"&amp;$D6&amp;"'!K"&amp;$C6)</f>
        <v>17</v>
      </c>
      <c r="S6" s="20" cm="1">
        <f t="array" aca="1" ref="S6" ca="1">INDIRECT("'"&amp;$D6&amp;"'!L"&amp;$C6)</f>
        <v>45</v>
      </c>
      <c r="T6" s="104"/>
      <c r="U6" s="104"/>
      <c r="V6" s="104"/>
      <c r="W6" s="104"/>
      <c r="X6" s="104"/>
    </row>
    <row r="7" spans="1:24" x14ac:dyDescent="0.35">
      <c r="A7" s="105"/>
      <c r="B7" s="105"/>
      <c r="C7" s="8">
        <f t="shared" ca="1" si="0"/>
        <v>9</v>
      </c>
      <c r="D7" s="15" t="s">
        <v>139</v>
      </c>
      <c r="E7" s="44" cm="1">
        <f t="array" aca="1" ref="E7" ca="1">INDEX(INDIRECT("'"&amp;$D7&amp;"'!O:O"), $C7)</f>
        <v>1</v>
      </c>
      <c r="F7" s="16" t="str" cm="1">
        <f t="array" aca="1" ref="F7" ca="1">INDEX(INDIRECT("'"&amp;$D7&amp;"'!A:A"), $C7)</f>
        <v>Constable's Gloves</v>
      </c>
      <c r="G7" s="16" cm="1">
        <f t="array" aca="1" ref="G7" ca="1">INDIRECT("'"&amp;$D7&amp;"'!N"&amp;$C7)</f>
        <v>451</v>
      </c>
      <c r="H7" s="38" cm="1">
        <f t="array" aca="1" ref="H7" ca="1">INDIRECT("'"&amp;$D7&amp;"'!M"&amp;$C7)</f>
        <v>247.5</v>
      </c>
      <c r="I7" s="16" cm="1">
        <f t="array" aca="1" ref="I7" ca="1">INDEX(INDIRECT("'"&amp;$D7&amp;"'!B:B"), $C7)</f>
        <v>60</v>
      </c>
      <c r="J7" s="16" cm="1">
        <f t="array" aca="1" ref="J7" ca="1">INDEX(INDIRECT("'"&amp;$D7&amp;"'!C:C"), $C7)</f>
        <v>60</v>
      </c>
      <c r="K7" s="16" cm="1">
        <f t="array" aca="1" ref="K7" ca="1">INDEX(INDIRECT("'"&amp;$D7&amp;"'!D:D"), $C7)</f>
        <v>50</v>
      </c>
      <c r="L7" s="16" cm="1">
        <f t="array" aca="1" ref="L7" ca="1">INDEX(INDIRECT("'"&amp;$D7&amp;"'!E:E"), $C7)</f>
        <v>50</v>
      </c>
      <c r="M7" s="16" cm="1">
        <f t="array" aca="1" ref="M7" ca="1">INDEX(Table2[Arcane], $C$5)</f>
        <v>20</v>
      </c>
      <c r="N7" s="16" cm="1">
        <f t="array" aca="1" ref="N7" ca="1">INDEX(Table2[Fire], $C$5)</f>
        <v>30</v>
      </c>
      <c r="O7" s="16" cm="1">
        <f t="array" aca="1" ref="O7" ca="1">INDEX(INDIRECT("'"&amp;$D7&amp;"'!H:H"), $C7)</f>
        <v>60</v>
      </c>
      <c r="P7" s="16" cm="1">
        <f t="array" aca="1" ref="P7" ca="1">INDEX(INDIRECT("'"&amp;$D7&amp;"'!I:I"), $C7)</f>
        <v>32</v>
      </c>
      <c r="Q7" s="18" cm="1">
        <f t="array" aca="1" ref="Q7" ca="1">INDIRECT("'"&amp;$D7&amp;"'!J"&amp;$C7)</f>
        <v>17</v>
      </c>
      <c r="R7" s="16" cm="1">
        <f t="array" aca="1" ref="R7" ca="1">INDIRECT("'"&amp;$D7&amp;"'!K"&amp;$C7)</f>
        <v>12</v>
      </c>
      <c r="S7" s="16" cm="1">
        <f t="array" aca="1" ref="S7" ca="1">INDIRECT("'"&amp;$D7&amp;"'!L"&amp;$C7)</f>
        <v>31</v>
      </c>
      <c r="T7" s="104"/>
      <c r="U7" s="104"/>
      <c r="V7" s="104"/>
      <c r="W7" s="104"/>
      <c r="X7" s="104"/>
    </row>
    <row r="8" spans="1:24" ht="15" thickBot="1" x14ac:dyDescent="0.4">
      <c r="A8" s="105"/>
      <c r="B8" s="105"/>
      <c r="C8" s="8">
        <f t="shared" ca="1" si="0"/>
        <v>20</v>
      </c>
      <c r="D8" s="23" t="s">
        <v>140</v>
      </c>
      <c r="E8" s="44" cm="1">
        <f t="array" aca="1" ref="E8" ca="1">INDEX(INDIRECT("'"&amp;$D8&amp;"'!O:O"), $C8)</f>
        <v>1</v>
      </c>
      <c r="F8" s="24" t="str" cm="1">
        <f t="array" aca="1" ref="F8" ca="1">INDEX(INDIRECT("'"&amp;$D8&amp;"'!A:A"), $C8)</f>
        <v>Harrowed Trousers</v>
      </c>
      <c r="G8" s="29" cm="1">
        <f t="array" aca="1" ref="G8" ca="1">INDIRECT("'"&amp;$D8&amp;"'!N"&amp;$C8)</f>
        <v>486</v>
      </c>
      <c r="H8" s="39" cm="1">
        <f t="array" aca="1" ref="H8" ca="1">INDIRECT("'"&amp;$D8&amp;"'!M"&amp;$C8)</f>
        <v>259.5</v>
      </c>
      <c r="I8" s="29" cm="1">
        <f t="array" aca="1" ref="I8" ca="1">INDEX(INDIRECT("'"&amp;$D8&amp;"'!B:B"), $C8)</f>
        <v>70</v>
      </c>
      <c r="J8" s="29" cm="1">
        <f t="array" aca="1" ref="J8" ca="1">INDEX(INDIRECT("'"&amp;$D8&amp;"'!C:C"), $C8)</f>
        <v>50</v>
      </c>
      <c r="K8" s="29" cm="1">
        <f t="array" aca="1" ref="K8" ca="1">INDEX(INDIRECT("'"&amp;$D8&amp;"'!D:D"), $C8)</f>
        <v>50</v>
      </c>
      <c r="L8" s="29" cm="1">
        <f t="array" aca="1" ref="L8" ca="1">INDEX(INDIRECT("'"&amp;$D8&amp;"'!E:E"), $C8)</f>
        <v>60</v>
      </c>
      <c r="M8" s="29" cm="1">
        <f t="array" aca="1" ref="M8" ca="1">INDEX(Table2[Arcane], $C$5)</f>
        <v>20</v>
      </c>
      <c r="N8" s="29" cm="1">
        <f t="array" aca="1" ref="N8" ca="1">INDEX(Table2[Fire], $C$5)</f>
        <v>30</v>
      </c>
      <c r="O8" s="29" cm="1">
        <f t="array" aca="1" ref="O8" ca="1">INDEX(INDIRECT("'"&amp;$D8&amp;"'!H:H"), $C8)</f>
        <v>60</v>
      </c>
      <c r="P8" s="29" cm="1">
        <f t="array" aca="1" ref="P8" ca="1">INDEX(INDIRECT("'"&amp;$D8&amp;"'!I:I"), $C8)</f>
        <v>38</v>
      </c>
      <c r="Q8" s="31" cm="1">
        <f t="array" aca="1" ref="Q8" ca="1">INDIRECT("'"&amp;$D8&amp;"'!J"&amp;$C8)</f>
        <v>33</v>
      </c>
      <c r="R8" s="29" cm="1">
        <f t="array" aca="1" ref="R8" ca="1">INDIRECT("'"&amp;$D8&amp;"'!K"&amp;$C8)</f>
        <v>5</v>
      </c>
      <c r="S8" s="29" cm="1">
        <f t="array" aca="1" ref="S8" ca="1">INDIRECT("'"&amp;$D8&amp;"'!L"&amp;$C8)</f>
        <v>27</v>
      </c>
      <c r="T8" s="104"/>
      <c r="U8" s="104"/>
      <c r="V8" s="104"/>
      <c r="W8" s="104"/>
      <c r="X8" s="104"/>
    </row>
    <row r="9" spans="1:24" ht="23.5" customHeight="1" thickTop="1" x14ac:dyDescent="0.35">
      <c r="A9" s="105"/>
      <c r="B9" s="105"/>
      <c r="D9" s="28" t="s">
        <v>47</v>
      </c>
      <c r="E9" s="43"/>
      <c r="F9" s="27"/>
      <c r="G9" s="36">
        <f t="shared" ref="G9:H9" ca="1" si="1">SUM(G5:G8)</f>
        <v>2163</v>
      </c>
      <c r="H9" s="40">
        <f t="shared" ca="1" si="1"/>
        <v>1185.5999999999999</v>
      </c>
      <c r="I9" s="32">
        <f ca="1">SUM(I5:I8)</f>
        <v>280</v>
      </c>
      <c r="J9" s="33">
        <f t="shared" ref="J9:S9" ca="1" si="2">SUM(J5:J8)</f>
        <v>270</v>
      </c>
      <c r="K9" s="33">
        <f t="shared" ca="1" si="2"/>
        <v>260</v>
      </c>
      <c r="L9" s="33">
        <f t="shared" ca="1" si="2"/>
        <v>250</v>
      </c>
      <c r="M9" s="33">
        <f t="shared" ca="1" si="2"/>
        <v>120</v>
      </c>
      <c r="N9" s="33">
        <f t="shared" ca="1" si="2"/>
        <v>140</v>
      </c>
      <c r="O9" s="33">
        <f t="shared" ca="1" si="2"/>
        <v>270</v>
      </c>
      <c r="P9" s="33">
        <f t="shared" ca="1" si="2"/>
        <v>143</v>
      </c>
      <c r="Q9" s="33">
        <f t="shared" ca="1" si="2"/>
        <v>114</v>
      </c>
      <c r="R9" s="33">
        <f t="shared" ca="1" si="2"/>
        <v>36</v>
      </c>
      <c r="S9" s="34">
        <f t="shared" ca="1" si="2"/>
        <v>121</v>
      </c>
      <c r="T9" s="104"/>
      <c r="U9" s="104"/>
      <c r="V9" s="104"/>
      <c r="W9" s="104"/>
      <c r="X9" s="104"/>
    </row>
    <row r="10" spans="1:24" ht="16.5" customHeight="1" x14ac:dyDescent="0.35">
      <c r="A10" s="105"/>
      <c r="B10" s="105"/>
      <c r="C10" s="105"/>
      <c r="D10" s="105"/>
      <c r="E10" s="105"/>
      <c r="F10" s="105"/>
      <c r="G10" s="105"/>
      <c r="H10" s="105"/>
      <c r="I10" s="105"/>
      <c r="J10" s="105"/>
      <c r="K10" s="105"/>
      <c r="L10" s="105"/>
      <c r="M10" s="105"/>
      <c r="N10" s="105"/>
      <c r="O10" s="105"/>
      <c r="P10" s="105"/>
      <c r="Q10" s="105"/>
      <c r="R10" s="105"/>
      <c r="S10" s="105"/>
      <c r="T10" s="104"/>
      <c r="U10" s="104"/>
      <c r="V10" s="104"/>
      <c r="W10" s="104"/>
      <c r="X10" s="104"/>
    </row>
    <row r="11" spans="1:24" ht="14" customHeight="1" x14ac:dyDescent="0.35">
      <c r="A11" s="105"/>
      <c r="B11" s="105"/>
      <c r="C11" s="105"/>
      <c r="D11" s="105"/>
      <c r="E11" s="105"/>
      <c r="F11" s="105"/>
      <c r="G11" s="105"/>
      <c r="H11" s="105"/>
      <c r="I11" s="105"/>
      <c r="J11" s="105"/>
      <c r="K11" s="105"/>
      <c r="L11" s="105"/>
      <c r="M11" s="105"/>
      <c r="N11" s="105"/>
      <c r="O11" s="105"/>
      <c r="P11" s="105"/>
      <c r="Q11" s="105"/>
      <c r="R11" s="105"/>
      <c r="S11" s="105"/>
      <c r="T11" s="104"/>
      <c r="U11" s="104"/>
      <c r="V11" s="104"/>
      <c r="W11" s="104"/>
      <c r="X11" s="104"/>
    </row>
    <row r="12" spans="1:24" ht="15" customHeight="1" x14ac:dyDescent="0.35">
      <c r="A12" s="105"/>
      <c r="B12" s="105"/>
      <c r="C12" s="105"/>
      <c r="D12" s="105"/>
      <c r="E12" s="105"/>
      <c r="F12" s="105"/>
      <c r="G12" s="105"/>
      <c r="H12" s="105"/>
      <c r="I12" s="105"/>
      <c r="J12" s="105"/>
      <c r="K12" s="105"/>
      <c r="L12" s="105"/>
      <c r="M12" s="105"/>
      <c r="N12" s="105"/>
      <c r="O12" s="105"/>
      <c r="P12" s="105"/>
      <c r="Q12" s="105"/>
      <c r="R12" s="105"/>
      <c r="S12" s="105"/>
      <c r="T12" s="104"/>
      <c r="U12" s="104"/>
      <c r="V12" s="104"/>
      <c r="W12" s="104"/>
      <c r="X12" s="104"/>
    </row>
    <row r="13" spans="1:24" ht="18" customHeight="1" x14ac:dyDescent="0.35">
      <c r="A13" s="105"/>
      <c r="B13" s="105"/>
      <c r="C13" s="105"/>
      <c r="D13" s="105"/>
      <c r="E13" s="105"/>
      <c r="F13" s="105"/>
      <c r="G13" s="105"/>
      <c r="H13" s="105"/>
      <c r="I13" s="105"/>
      <c r="J13" s="105"/>
      <c r="K13" s="105"/>
      <c r="L13" s="105"/>
      <c r="M13" s="105"/>
      <c r="N13" s="105"/>
      <c r="O13" s="105"/>
      <c r="P13" s="105"/>
      <c r="Q13" s="105"/>
      <c r="R13" s="105"/>
      <c r="S13" s="105"/>
      <c r="T13" s="104"/>
      <c r="U13" s="104"/>
      <c r="V13" s="104"/>
      <c r="W13" s="104"/>
      <c r="X13" s="104"/>
    </row>
    <row r="14" spans="1:24" ht="47" customHeight="1" x14ac:dyDescent="0.55000000000000004">
      <c r="A14" s="104"/>
      <c r="B14" s="104"/>
      <c r="C14" s="35" t="s">
        <v>150</v>
      </c>
      <c r="D14" s="14" t="s">
        <v>194</v>
      </c>
      <c r="E14" s="7" t="s">
        <v>152</v>
      </c>
      <c r="F14" s="7" t="s">
        <v>141</v>
      </c>
      <c r="G14" s="37" t="s">
        <v>142</v>
      </c>
      <c r="H14" s="7" t="s">
        <v>143</v>
      </c>
      <c r="I14" s="7" t="s">
        <v>0</v>
      </c>
      <c r="J14" s="7" t="s">
        <v>1</v>
      </c>
      <c r="K14" s="7" t="s">
        <v>2</v>
      </c>
      <c r="L14" s="7" t="s">
        <v>3</v>
      </c>
      <c r="M14" s="7" t="s">
        <v>4</v>
      </c>
      <c r="N14" s="7" t="s">
        <v>5</v>
      </c>
      <c r="O14" s="7" t="s">
        <v>6</v>
      </c>
      <c r="P14" s="7" t="s">
        <v>7</v>
      </c>
      <c r="Q14" s="7" t="s">
        <v>8</v>
      </c>
      <c r="R14" s="7" t="s">
        <v>9</v>
      </c>
      <c r="S14" s="7" t="s">
        <v>10</v>
      </c>
      <c r="T14" s="104"/>
      <c r="U14" s="104"/>
      <c r="V14" s="104"/>
      <c r="W14" s="104"/>
      <c r="X14" s="104"/>
    </row>
    <row r="15" spans="1:24" x14ac:dyDescent="0.35">
      <c r="A15" s="105" t="s">
        <v>149</v>
      </c>
      <c r="B15" s="105"/>
      <c r="C15" s="8">
        <f ca="1">MATCH(MIN(INDIRECT("'"&amp;$D15&amp;"'!O:O")), INDIRECT("'"&amp;$D15&amp;"'!O:O"), 0)</f>
        <v>19</v>
      </c>
      <c r="D15" s="15" t="s">
        <v>146</v>
      </c>
      <c r="E15" s="44" cm="1">
        <f t="array" aca="1" ref="E15" ca="1">INDEX(INDIRECT("'"&amp;$D5&amp;"'!O:O"), $C5)</f>
        <v>1</v>
      </c>
      <c r="F15" s="16" t="str" cm="1">
        <f t="array" aca="1" ref="F15" ca="1">INDEX(INDIRECT("'"&amp;$D15&amp;"'!A:A"), $C15)</f>
        <v>Harrowed Hood</v>
      </c>
      <c r="G15" s="41" cm="1">
        <f t="array" aca="1" ref="G15" ca="1">INDIRECT("'"&amp;$D15&amp;"'!N"&amp;$C15)</f>
        <v>391</v>
      </c>
      <c r="H15" s="17" cm="1">
        <f t="array" aca="1" ref="H15" ca="1">INDIRECT("'"&amp;$D15&amp;"'!M"&amp;$C15)</f>
        <v>224.5</v>
      </c>
      <c r="I15" s="16" cm="1">
        <f t="array" aca="1" ref="I15" ca="1">INDEX(INDIRECT("'"&amp;$D15&amp;"'!B:B"), $C15)</f>
        <v>60</v>
      </c>
      <c r="J15" s="16" cm="1">
        <f t="array" aca="1" ref="J15" ca="1">INDEX(INDIRECT("'"&amp;$D15&amp;"'!C:C"), $C15)</f>
        <v>40</v>
      </c>
      <c r="K15" s="16" cm="1">
        <f t="array" aca="1" ref="K15" ca="1">INDEX(INDIRECT("'"&amp;$D15&amp;"'!D:D"), $C15)</f>
        <v>50</v>
      </c>
      <c r="L15" s="16" cm="1">
        <f t="array" aca="1" ref="L15" ca="1">INDEX(INDIRECT("'"&amp;$D15&amp;"'!E:E"), $C15)</f>
        <v>40</v>
      </c>
      <c r="M15" s="16" cm="1">
        <f t="array" aca="1" ref="M15" ca="1">INDEX(INDIRECT("'"&amp;$D15&amp;"'!F:F"), $C15)</f>
        <v>60</v>
      </c>
      <c r="N15" s="16" cm="1">
        <f t="array" aca="1" ref="N15" ca="1">INDEX(INDIRECT("'"&amp;$D15&amp;"'!G:G"), $C15)</f>
        <v>50</v>
      </c>
      <c r="O15" s="16" cm="1">
        <f t="array" aca="1" ref="O15" ca="1">INDEX(INDIRECT("'"&amp;$D15&amp;"'!H:H"), $C15)</f>
        <v>50</v>
      </c>
      <c r="P15" s="16" cm="1">
        <f t="array" aca="1" ref="P15" ca="1">INDEX(INDIRECT("'"&amp;$D15&amp;"'!I:I"), $C15)</f>
        <v>20</v>
      </c>
      <c r="Q15" s="18" cm="1">
        <f t="array" aca="1" ref="Q15" ca="1">INDIRECT("'"&amp;$D15&amp;"'!J"&amp;$C15)</f>
        <v>19</v>
      </c>
      <c r="R15" s="16" cm="1">
        <f t="array" aca="1" ref="R15" ca="1">INDIRECT("'"&amp;$D15&amp;"'!K"&amp;$C15)</f>
        <v>2</v>
      </c>
      <c r="S15" s="16" cm="1">
        <f t="array" aca="1" ref="S15" ca="1">INDIRECT("'"&amp;$D15&amp;"'!L"&amp;$C15)</f>
        <v>18</v>
      </c>
      <c r="T15" s="104"/>
      <c r="U15" s="104"/>
      <c r="V15" s="104"/>
      <c r="W15" s="104"/>
      <c r="X15" s="104"/>
    </row>
    <row r="16" spans="1:24" x14ac:dyDescent="0.35">
      <c r="A16" s="105"/>
      <c r="B16" s="105"/>
      <c r="C16" s="8">
        <f ca="1">MATCH(MAX(INDIRECT("'"&amp;$D16&amp;"'!N:N")), INDIRECT("'"&amp;$D16&amp;"'!N:N"), 0)</f>
        <v>4</v>
      </c>
      <c r="D16" s="19" t="s">
        <v>147</v>
      </c>
      <c r="E16" s="44" cm="1">
        <f t="array" aca="1" ref="E16" ca="1">INDEX(INDIRECT("'"&amp;$D6&amp;"'!O:O"), $C6)</f>
        <v>1</v>
      </c>
      <c r="F16" s="20" t="str" cm="1">
        <f t="array" aca="1" ref="F16" ca="1">INDEX(INDIRECT("'"&amp;$D16&amp;"'!A:A"), $C16)</f>
        <v>Black Church Garb</v>
      </c>
      <c r="G16" s="42" cm="1">
        <f t="array" aca="1" ref="G16" ca="1">INDIRECT("'"&amp;$D16&amp;"'!N"&amp;$C16)</f>
        <v>847</v>
      </c>
      <c r="H16" s="21" cm="1">
        <f t="array" aca="1" ref="H16" ca="1">INDIRECT("'"&amp;$D16&amp;"'!M"&amp;$C16)</f>
        <v>443.1</v>
      </c>
      <c r="I16" s="20" cm="1">
        <f t="array" aca="1" ref="I16" ca="1">INDEX(INDIRECT("'"&amp;$D16&amp;"'!B:B"), $C16)</f>
        <v>90</v>
      </c>
      <c r="J16" s="20" cm="1">
        <f t="array" aca="1" ref="J16" ca="1">INDEX(INDIRECT("'"&amp;$D16&amp;"'!C:C"), $C16)</f>
        <v>90</v>
      </c>
      <c r="K16" s="20" cm="1">
        <f t="array" aca="1" ref="K16" ca="1">INDEX(INDIRECT("'"&amp;$D16&amp;"'!D:D"), $C16)</f>
        <v>110</v>
      </c>
      <c r="L16" s="20" cm="1">
        <f t="array" aca="1" ref="L16" ca="1">INDEX(INDIRECT("'"&amp;$D16&amp;"'!E:E"), $C16)</f>
        <v>110</v>
      </c>
      <c r="M16" s="20" cm="1">
        <f t="array" aca="1" ref="M16" ca="1">INDEX(Table2[Arcane], $C$5)</f>
        <v>20</v>
      </c>
      <c r="N16" s="20" cm="1">
        <f t="array" aca="1" ref="N16" ca="1">INDEX(Table2[Fire], $C$5)</f>
        <v>30</v>
      </c>
      <c r="O16" s="20" cm="1">
        <f t="array" aca="1" ref="O16" ca="1">INDEX(INDIRECT("'"&amp;$D16&amp;"'!H:H"), $C16)</f>
        <v>110</v>
      </c>
      <c r="P16" s="20" cm="1">
        <f t="array" aca="1" ref="P16" ca="1">INDEX(INDIRECT("'"&amp;$D16&amp;"'!I:I"), $C16)</f>
        <v>60</v>
      </c>
      <c r="Q16" s="22" cm="1">
        <f t="array" aca="1" ref="Q16" ca="1">INDIRECT("'"&amp;$D16&amp;"'!J"&amp;$C16)</f>
        <v>58</v>
      </c>
      <c r="R16" s="20" cm="1">
        <f t="array" aca="1" ref="R16" ca="1">INDIRECT("'"&amp;$D16&amp;"'!K"&amp;$C16)</f>
        <v>9</v>
      </c>
      <c r="S16" s="20" cm="1">
        <f t="array" aca="1" ref="S16" ca="1">INDIRECT("'"&amp;$D16&amp;"'!L"&amp;$C16)</f>
        <v>40</v>
      </c>
      <c r="T16" s="104"/>
      <c r="U16" s="104"/>
      <c r="V16" s="104"/>
      <c r="W16" s="104"/>
      <c r="X16" s="104"/>
    </row>
    <row r="17" spans="1:24" x14ac:dyDescent="0.35">
      <c r="A17" s="105"/>
      <c r="B17" s="105"/>
      <c r="C17" s="8">
        <f t="shared" ref="C17:C18" ca="1" si="3">MATCH(MIN(INDIRECT("'"&amp;$D17&amp;"'!O:O")), INDIRECT("'"&amp;$D17&amp;"'!O:O"), 0)</f>
        <v>9</v>
      </c>
      <c r="D17" s="15" t="s">
        <v>139</v>
      </c>
      <c r="E17" s="44" cm="1">
        <f t="array" aca="1" ref="E17" ca="1">INDEX(INDIRECT("'"&amp;$D7&amp;"'!O:O"), $C7)</f>
        <v>1</v>
      </c>
      <c r="F17" s="16" t="str" cm="1">
        <f t="array" aca="1" ref="F17" ca="1">INDEX(INDIRECT("'"&amp;$D17&amp;"'!A:A"), $C17)</f>
        <v>Constable's Gloves</v>
      </c>
      <c r="G17" s="41" cm="1">
        <f t="array" aca="1" ref="G17" ca="1">INDIRECT("'"&amp;$D17&amp;"'!N"&amp;$C17)</f>
        <v>451</v>
      </c>
      <c r="H17" s="17" cm="1">
        <f t="array" aca="1" ref="H17" ca="1">INDIRECT("'"&amp;$D17&amp;"'!M"&amp;$C17)</f>
        <v>247.5</v>
      </c>
      <c r="I17" s="16" cm="1">
        <f t="array" aca="1" ref="I17" ca="1">INDEX(INDIRECT("'"&amp;$D17&amp;"'!B:B"), $C17)</f>
        <v>60</v>
      </c>
      <c r="J17" s="16" cm="1">
        <f t="array" aca="1" ref="J17" ca="1">INDEX(INDIRECT("'"&amp;$D17&amp;"'!C:C"), $C17)</f>
        <v>60</v>
      </c>
      <c r="K17" s="16" cm="1">
        <f t="array" aca="1" ref="K17" ca="1">INDEX(INDIRECT("'"&amp;$D17&amp;"'!D:D"), $C17)</f>
        <v>50</v>
      </c>
      <c r="L17" s="16" cm="1">
        <f t="array" aca="1" ref="L17" ca="1">INDEX(INDIRECT("'"&amp;$D17&amp;"'!E:E"), $C17)</f>
        <v>50</v>
      </c>
      <c r="M17" s="16" cm="1">
        <f t="array" aca="1" ref="M17" ca="1">INDEX(Table2[Arcane], $C$5)</f>
        <v>20</v>
      </c>
      <c r="N17" s="16" cm="1">
        <f t="array" aca="1" ref="N17" ca="1">INDEX(Table2[Fire], $C$5)</f>
        <v>30</v>
      </c>
      <c r="O17" s="16" cm="1">
        <f t="array" aca="1" ref="O17" ca="1">INDEX(INDIRECT("'"&amp;$D17&amp;"'!H:H"), $C17)</f>
        <v>60</v>
      </c>
      <c r="P17" s="16" cm="1">
        <f t="array" aca="1" ref="P17" ca="1">INDEX(INDIRECT("'"&amp;$D17&amp;"'!I:I"), $C17)</f>
        <v>32</v>
      </c>
      <c r="Q17" s="18" cm="1">
        <f t="array" aca="1" ref="Q17" ca="1">INDIRECT("'"&amp;$D17&amp;"'!J"&amp;$C17)</f>
        <v>17</v>
      </c>
      <c r="R17" s="16" cm="1">
        <f t="array" aca="1" ref="R17" ca="1">INDIRECT("'"&amp;$D17&amp;"'!K"&amp;$C17)</f>
        <v>12</v>
      </c>
      <c r="S17" s="16" cm="1">
        <f t="array" aca="1" ref="S17" ca="1">INDIRECT("'"&amp;$D17&amp;"'!L"&amp;$C17)</f>
        <v>31</v>
      </c>
      <c r="T17" s="104"/>
      <c r="U17" s="104"/>
      <c r="V17" s="104"/>
      <c r="W17" s="104"/>
      <c r="X17" s="104"/>
    </row>
    <row r="18" spans="1:24" ht="15" thickBot="1" x14ac:dyDescent="0.4">
      <c r="A18" s="105"/>
      <c r="B18" s="105"/>
      <c r="C18" s="8">
        <f t="shared" ca="1" si="3"/>
        <v>20</v>
      </c>
      <c r="D18" s="23" t="s">
        <v>140</v>
      </c>
      <c r="E18" s="44" cm="1">
        <f t="array" aca="1" ref="E18" ca="1">INDEX(INDIRECT("'"&amp;$D8&amp;"'!O:O"), $C8)</f>
        <v>1</v>
      </c>
      <c r="F18" s="24" t="str" cm="1">
        <f t="array" aca="1" ref="F18" ca="1">INDEX(INDIRECT("'"&amp;$D18&amp;"'!A:A"), $C18)</f>
        <v>Harrowed Trousers</v>
      </c>
      <c r="G18" s="42" cm="1">
        <f t="array" aca="1" ref="G18" ca="1">INDIRECT("'"&amp;$D18&amp;"'!N"&amp;$C18)</f>
        <v>486</v>
      </c>
      <c r="H18" s="30" cm="1">
        <f t="array" aca="1" ref="H18" ca="1">INDIRECT("'"&amp;$D18&amp;"'!M"&amp;$C18)</f>
        <v>259.5</v>
      </c>
      <c r="I18" s="29" cm="1">
        <f t="array" aca="1" ref="I18" ca="1">INDEX(INDIRECT("'"&amp;$D18&amp;"'!B:B"), $C18)</f>
        <v>70</v>
      </c>
      <c r="J18" s="29" cm="1">
        <f t="array" aca="1" ref="J18" ca="1">INDEX(INDIRECT("'"&amp;$D18&amp;"'!C:C"), $C18)</f>
        <v>50</v>
      </c>
      <c r="K18" s="29" cm="1">
        <f t="array" aca="1" ref="K18" ca="1">INDEX(INDIRECT("'"&amp;$D18&amp;"'!D:D"), $C18)</f>
        <v>50</v>
      </c>
      <c r="L18" s="29" cm="1">
        <f t="array" aca="1" ref="L18" ca="1">INDEX(INDIRECT("'"&amp;$D18&amp;"'!E:E"), $C18)</f>
        <v>60</v>
      </c>
      <c r="M18" s="29" cm="1">
        <f t="array" aca="1" ref="M18" ca="1">INDEX(Table2[Arcane], $C$5)</f>
        <v>20</v>
      </c>
      <c r="N18" s="29" cm="1">
        <f t="array" aca="1" ref="N18" ca="1">INDEX(Table2[Fire], $C$5)</f>
        <v>30</v>
      </c>
      <c r="O18" s="29" cm="1">
        <f t="array" aca="1" ref="O18" ca="1">INDEX(INDIRECT("'"&amp;$D18&amp;"'!H:H"), $C18)</f>
        <v>60</v>
      </c>
      <c r="P18" s="29" cm="1">
        <f t="array" aca="1" ref="P18" ca="1">INDEX(INDIRECT("'"&amp;$D18&amp;"'!I:I"), $C18)</f>
        <v>38</v>
      </c>
      <c r="Q18" s="31" cm="1">
        <f t="array" aca="1" ref="Q18" ca="1">INDIRECT("'"&amp;$D18&amp;"'!J"&amp;$C18)</f>
        <v>33</v>
      </c>
      <c r="R18" s="29" cm="1">
        <f t="array" aca="1" ref="R18" ca="1">INDIRECT("'"&amp;$D18&amp;"'!K"&amp;$C18)</f>
        <v>5</v>
      </c>
      <c r="S18" s="29" cm="1">
        <f t="array" aca="1" ref="S18" ca="1">INDIRECT("'"&amp;$D18&amp;"'!L"&amp;$C18)</f>
        <v>27</v>
      </c>
      <c r="T18" s="104"/>
      <c r="U18" s="104"/>
      <c r="V18" s="104"/>
      <c r="W18" s="104"/>
      <c r="X18" s="104"/>
    </row>
    <row r="19" spans="1:24" ht="15" thickTop="1" x14ac:dyDescent="0.35">
      <c r="A19" s="105"/>
      <c r="B19" s="105"/>
      <c r="D19" s="28" t="s">
        <v>47</v>
      </c>
      <c r="E19" s="43"/>
      <c r="F19" s="27"/>
      <c r="G19" s="40">
        <f t="shared" ref="G19" ca="1" si="4">SUM(G15:G18)</f>
        <v>2175</v>
      </c>
      <c r="H19" s="32">
        <f t="shared" ref="H19" ca="1" si="5">SUM(H15:H18)</f>
        <v>1174.5999999999999</v>
      </c>
      <c r="I19" s="33">
        <f ca="1">SUM(I15:I18)</f>
        <v>280</v>
      </c>
      <c r="J19" s="33">
        <f t="shared" ref="J19" ca="1" si="6">SUM(J15:J18)</f>
        <v>240</v>
      </c>
      <c r="K19" s="33">
        <f t="shared" ref="K19" ca="1" si="7">SUM(K15:K18)</f>
        <v>260</v>
      </c>
      <c r="L19" s="33">
        <f t="shared" ref="L19" ca="1" si="8">SUM(L15:L18)</f>
        <v>260</v>
      </c>
      <c r="M19" s="33">
        <f t="shared" ref="M19" ca="1" si="9">SUM(M15:M18)</f>
        <v>120</v>
      </c>
      <c r="N19" s="33">
        <f t="shared" ref="N19" ca="1" si="10">SUM(N15:N18)</f>
        <v>140</v>
      </c>
      <c r="O19" s="33">
        <f t="shared" ref="O19" ca="1" si="11">SUM(O15:O18)</f>
        <v>280</v>
      </c>
      <c r="P19" s="33">
        <f t="shared" ref="P19" ca="1" si="12">SUM(P15:P18)</f>
        <v>150</v>
      </c>
      <c r="Q19" s="33">
        <f t="shared" ref="Q19" ca="1" si="13">SUM(Q15:Q18)</f>
        <v>127</v>
      </c>
      <c r="R19" s="33">
        <f t="shared" ref="R19" ca="1" si="14">SUM(R15:R18)</f>
        <v>28</v>
      </c>
      <c r="S19" s="34">
        <f t="shared" ref="S19" ca="1" si="15">SUM(S15:S18)</f>
        <v>116</v>
      </c>
      <c r="T19" s="104"/>
      <c r="U19" s="104"/>
      <c r="V19" s="104"/>
      <c r="W19" s="104"/>
      <c r="X19" s="104"/>
    </row>
    <row r="20" spans="1:24" x14ac:dyDescent="0.35">
      <c r="A20" s="104"/>
      <c r="B20" s="104"/>
      <c r="C20" s="104"/>
      <c r="D20" s="104"/>
      <c r="E20" s="104"/>
      <c r="F20" s="104"/>
      <c r="G20" s="104"/>
      <c r="H20" s="104"/>
      <c r="I20" s="104"/>
      <c r="J20" s="104"/>
      <c r="K20" s="104"/>
      <c r="L20" s="104"/>
      <c r="M20" s="104"/>
      <c r="N20" s="104"/>
      <c r="O20" s="104"/>
      <c r="P20" s="104"/>
      <c r="Q20" s="104"/>
      <c r="R20" s="104"/>
      <c r="S20" s="104"/>
      <c r="T20" s="104"/>
      <c r="U20" s="104"/>
      <c r="V20" s="104"/>
      <c r="W20" s="104"/>
      <c r="X20" s="104"/>
    </row>
    <row r="21" spans="1:24" x14ac:dyDescent="0.35">
      <c r="A21" s="104"/>
      <c r="B21" s="104"/>
      <c r="C21" s="104"/>
      <c r="D21" s="104"/>
      <c r="E21" s="104"/>
      <c r="F21" s="104"/>
      <c r="G21" s="104"/>
      <c r="H21" s="104"/>
      <c r="I21" s="104"/>
      <c r="J21" s="104"/>
      <c r="K21" s="104"/>
      <c r="L21" s="104"/>
      <c r="M21" s="104"/>
      <c r="N21" s="104"/>
      <c r="O21" s="104"/>
      <c r="P21" s="104"/>
      <c r="Q21" s="104"/>
      <c r="R21" s="104"/>
      <c r="S21" s="104"/>
      <c r="T21" s="104"/>
      <c r="U21" s="104"/>
      <c r="V21" s="104"/>
      <c r="W21" s="104"/>
      <c r="X21" s="104"/>
    </row>
    <row r="22" spans="1:24" x14ac:dyDescent="0.35">
      <c r="A22" s="104"/>
      <c r="B22" s="104"/>
      <c r="C22" s="104"/>
      <c r="D22" s="104"/>
      <c r="E22" s="104"/>
      <c r="F22" s="104"/>
      <c r="G22" s="104"/>
      <c r="H22" s="104"/>
      <c r="I22" s="104"/>
      <c r="J22" s="104"/>
      <c r="K22" s="104"/>
      <c r="L22" s="104"/>
      <c r="M22" s="104"/>
      <c r="N22" s="104"/>
      <c r="O22" s="104"/>
      <c r="P22" s="104"/>
      <c r="Q22" s="104"/>
      <c r="R22" s="104"/>
      <c r="S22" s="104"/>
      <c r="T22" s="104"/>
      <c r="U22" s="104"/>
      <c r="V22" s="104"/>
      <c r="W22" s="104"/>
      <c r="X22" s="104"/>
    </row>
    <row r="23" spans="1:24" ht="23.5" x14ac:dyDescent="0.55000000000000004">
      <c r="A23" s="104"/>
      <c r="C23" s="9" t="s">
        <v>148</v>
      </c>
      <c r="D23" s="14" t="s">
        <v>194</v>
      </c>
      <c r="E23" s="7" t="s">
        <v>152</v>
      </c>
      <c r="F23" s="2" t="s">
        <v>141</v>
      </c>
      <c r="G23" s="2" t="s">
        <v>142</v>
      </c>
      <c r="H23" s="2" t="s">
        <v>143</v>
      </c>
      <c r="I23" s="2" t="s">
        <v>0</v>
      </c>
      <c r="J23" s="2" t="s">
        <v>1</v>
      </c>
      <c r="K23" s="2" t="s">
        <v>2</v>
      </c>
      <c r="L23" s="2" t="s">
        <v>3</v>
      </c>
      <c r="M23" s="2" t="s">
        <v>4</v>
      </c>
      <c r="N23" s="2" t="s">
        <v>5</v>
      </c>
      <c r="O23" s="2" t="s">
        <v>6</v>
      </c>
      <c r="P23" s="2" t="s">
        <v>7</v>
      </c>
      <c r="Q23" s="2" t="s">
        <v>8</v>
      </c>
      <c r="R23" s="2" t="s">
        <v>9</v>
      </c>
      <c r="S23" s="2" t="s">
        <v>10</v>
      </c>
      <c r="T23" s="104"/>
      <c r="U23" s="104"/>
      <c r="V23" s="104"/>
      <c r="W23" s="104"/>
      <c r="X23" s="104"/>
    </row>
    <row r="24" spans="1:24" x14ac:dyDescent="0.35">
      <c r="A24" s="104"/>
      <c r="B24">
        <v>1</v>
      </c>
      <c r="C24" s="45">
        <f ca="1">MATCH($B24, INDIRECT("'"&amp;$D$24&amp;"'!P:P"), 0)</f>
        <v>19</v>
      </c>
      <c r="D24" s="46" t="s">
        <v>146</v>
      </c>
      <c r="E24" s="46" cm="1">
        <f t="array" aca="1" ref="E24" ca="1">INDIRECT("'"&amp;$D24&amp;"'!O"&amp;$C24)</f>
        <v>1</v>
      </c>
      <c r="F24" s="47" t="str" cm="1">
        <f t="array" aca="1" ref="F24" ca="1">INDEX(INDIRECT("'"&amp;$D24&amp;"'!A:A"), $C24)</f>
        <v>Harrowed Hood</v>
      </c>
      <c r="G24" s="47" cm="1">
        <f t="array" aca="1" ref="G24" ca="1">INDIRECT("'"&amp;$D24&amp;"'!N"&amp;$C24)</f>
        <v>391</v>
      </c>
      <c r="H24" s="46" cm="1">
        <f t="array" aca="1" ref="H24" ca="1">INDIRECT("'"&amp;$D24&amp;"'!M"&amp;$C24)</f>
        <v>224.5</v>
      </c>
      <c r="I24" s="47" cm="1">
        <f t="array" aca="1" ref="I24" ca="1">INDEX(INDIRECT("'"&amp;$D24&amp;"'!B:B"), $C24)</f>
        <v>60</v>
      </c>
      <c r="J24" s="47" cm="1">
        <f t="array" aca="1" ref="J24" ca="1">INDEX(INDIRECT("'"&amp;$D24&amp;"'!C:C"), $C24)</f>
        <v>40</v>
      </c>
      <c r="K24" s="47" cm="1">
        <f t="array" aca="1" ref="K24" ca="1">INDEX(INDIRECT("'"&amp;$D24&amp;"'!D:D"), $C24)</f>
        <v>50</v>
      </c>
      <c r="L24" s="47" cm="1">
        <f t="array" aca="1" ref="L24" ca="1">INDEX(INDIRECT("'"&amp;$D24&amp;"'!E:E"), $C24)</f>
        <v>40</v>
      </c>
      <c r="M24" s="47" cm="1">
        <f t="array" aca="1" ref="M24" ca="1">INDEX(INDIRECT("'"&amp;$D24&amp;"'!F:F"), $C24)</f>
        <v>60</v>
      </c>
      <c r="N24" s="47" cm="1">
        <f t="array" aca="1" ref="N24" ca="1">INDEX(INDIRECT("'"&amp;$D24&amp;"'!G:G"), $C24)</f>
        <v>50</v>
      </c>
      <c r="O24" s="47" cm="1">
        <f t="array" aca="1" ref="O24" ca="1">INDEX(INDIRECT("'"&amp;$D24&amp;"'!H:H"), $C24)</f>
        <v>50</v>
      </c>
      <c r="P24" s="47" cm="1">
        <f t="array" aca="1" ref="P24" ca="1">INDEX(INDIRECT("'"&amp;$D24&amp;"'!I:I"), $C24)</f>
        <v>20</v>
      </c>
      <c r="Q24" s="48" cm="1">
        <f t="array" aca="1" ref="Q24" ca="1">INDIRECT("'"&amp;$D24&amp;"'!J"&amp;$C24)</f>
        <v>19</v>
      </c>
      <c r="R24" s="47" cm="1">
        <f t="array" aca="1" ref="R24" ca="1">INDIRECT("'"&amp;$D24&amp;"'!K"&amp;$C24)</f>
        <v>2</v>
      </c>
      <c r="S24" s="47" cm="1">
        <f t="array" aca="1" ref="S24" ca="1">INDIRECT("'"&amp;$D24&amp;"'!L"&amp;$C24)</f>
        <v>18</v>
      </c>
      <c r="T24" s="104"/>
      <c r="U24" s="104"/>
      <c r="V24" s="104"/>
      <c r="W24" s="104"/>
      <c r="X24" s="104"/>
    </row>
    <row r="25" spans="1:24" x14ac:dyDescent="0.35">
      <c r="A25" s="104"/>
      <c r="B25">
        <v>2</v>
      </c>
      <c r="C25" s="45">
        <f t="shared" ref="C25:C28" ca="1" si="16">MATCH($B25, INDIRECT("'"&amp;$D$24&amp;"'!P:P"), 0)</f>
        <v>16</v>
      </c>
      <c r="D25" s="46" t="s">
        <v>146</v>
      </c>
      <c r="E25" s="46" cm="1">
        <f t="array" aca="1" ref="E25" ca="1">INDIRECT("'"&amp;$D25&amp;"'!O"&amp;$C25)</f>
        <v>2</v>
      </c>
      <c r="F25" s="47" t="str" cm="1">
        <f t="array" aca="1" ref="F25" ca="1">INDEX(INDIRECT("'"&amp;$D25&amp;"'!A:A"), $C25)</f>
        <v>Gold Ardeo</v>
      </c>
      <c r="G25" s="47" cm="1">
        <f t="array" aca="1" ref="G25" ca="1">INDIRECT("'"&amp;$D25&amp;"'!N"&amp;$C25)</f>
        <v>380</v>
      </c>
      <c r="H25" s="46" cm="1">
        <f t="array" aca="1" ref="H25" ca="1">INDIRECT("'"&amp;$D25&amp;"'!M"&amp;$C25)</f>
        <v>209.6</v>
      </c>
      <c r="I25" s="47" cm="1">
        <f t="array" aca="1" ref="I25" ca="1">INDEX(INDIRECT("'"&amp;$D25&amp;"'!B:B"), $C25)</f>
        <v>50</v>
      </c>
      <c r="J25" s="47" cm="1">
        <f t="array" aca="1" ref="J25" ca="1">INDEX(INDIRECT("'"&amp;$D25&amp;"'!C:C"), $C25)</f>
        <v>40</v>
      </c>
      <c r="K25" s="47" cm="1">
        <f t="array" aca="1" ref="K25" ca="1">INDEX(INDIRECT("'"&amp;$D25&amp;"'!D:D"), $C25)</f>
        <v>60</v>
      </c>
      <c r="L25" s="47" cm="1">
        <f t="array" aca="1" ref="L25" ca="1">INDEX(INDIRECT("'"&amp;$D25&amp;"'!E:E"), $C25)</f>
        <v>40</v>
      </c>
      <c r="M25" s="47" cm="1">
        <f t="array" aca="1" ref="M25" ca="1">INDEX(INDIRECT("'"&amp;$D25&amp;"'!F:F"), $C25)</f>
        <v>40</v>
      </c>
      <c r="N25" s="47" cm="1">
        <f t="array" aca="1" ref="N25" ca="1">INDEX(INDIRECT("'"&amp;$D25&amp;"'!G:G"), $C25)</f>
        <v>40</v>
      </c>
      <c r="O25" s="47" cm="1">
        <f t="array" aca="1" ref="O25" ca="1">INDEX(INDIRECT("'"&amp;$D25&amp;"'!H:H"), $C25)</f>
        <v>70</v>
      </c>
      <c r="P25" s="47" cm="1">
        <f t="array" aca="1" ref="P25" ca="1">INDEX(INDIRECT("'"&amp;$D25&amp;"'!I:I"), $C25)</f>
        <v>12</v>
      </c>
      <c r="Q25" s="48" cm="1">
        <f t="array" aca="1" ref="Q25" ca="1">INDIRECT("'"&amp;$D25&amp;"'!J"&amp;$C25)</f>
        <v>15</v>
      </c>
      <c r="R25" s="47" cm="1">
        <f t="array" aca="1" ref="R25" ca="1">INDIRECT("'"&amp;$D25&amp;"'!K"&amp;$C25)</f>
        <v>13</v>
      </c>
      <c r="S25" s="47" cm="1">
        <f t="array" aca="1" ref="S25" ca="1">INDIRECT("'"&amp;$D25&amp;"'!L"&amp;$C25)</f>
        <v>16</v>
      </c>
      <c r="T25" s="104"/>
      <c r="U25" s="104"/>
      <c r="V25" s="104"/>
      <c r="W25" s="104"/>
      <c r="X25" s="104"/>
    </row>
    <row r="26" spans="1:24" x14ac:dyDescent="0.35">
      <c r="A26" s="104"/>
      <c r="B26">
        <v>3</v>
      </c>
      <c r="C26" s="45">
        <f t="shared" ca="1" si="16"/>
        <v>31</v>
      </c>
      <c r="D26" s="46" t="s">
        <v>146</v>
      </c>
      <c r="E26" s="46" cm="1">
        <f t="array" aca="1" ref="E26" ca="1">INDIRECT("'"&amp;$D26&amp;"'!O"&amp;$C26)</f>
        <v>3</v>
      </c>
      <c r="F26" s="47" t="str" cm="1">
        <f t="array" aca="1" ref="F26" ca="1">INDEX(INDIRECT("'"&amp;$D26&amp;"'!A:A"), $C26)</f>
        <v>Tomb Prospector Hood</v>
      </c>
      <c r="G26" s="47" cm="1">
        <f t="array" aca="1" ref="G26" ca="1">INDIRECT("'"&amp;$D26&amp;"'!N"&amp;$C26)</f>
        <v>378</v>
      </c>
      <c r="H26" s="46" cm="1">
        <f t="array" aca="1" ref="H26" ca="1">INDIRECT("'"&amp;$D26&amp;"'!M"&amp;$C26)</f>
        <v>208.5</v>
      </c>
      <c r="I26" s="47" cm="1">
        <f t="array" aca="1" ref="I26" ca="1">INDEX(INDIRECT("'"&amp;$D26&amp;"'!B:B"), $C26)</f>
        <v>40</v>
      </c>
      <c r="J26" s="47" cm="1">
        <f t="array" aca="1" ref="J26" ca="1">INDEX(INDIRECT("'"&amp;$D26&amp;"'!C:C"), $C26)</f>
        <v>40</v>
      </c>
      <c r="K26" s="47" cm="1">
        <f t="array" aca="1" ref="K26" ca="1">INDEX(INDIRECT("'"&amp;$D26&amp;"'!D:D"), $C26)</f>
        <v>50</v>
      </c>
      <c r="L26" s="47" cm="1">
        <f t="array" aca="1" ref="L26" ca="1">INDEX(INDIRECT("'"&amp;$D26&amp;"'!E:E"), $C26)</f>
        <v>50</v>
      </c>
      <c r="M26" s="47" cm="1">
        <f t="array" aca="1" ref="M26" ca="1">INDEX(INDIRECT("'"&amp;$D26&amp;"'!F:F"), $C26)</f>
        <v>60</v>
      </c>
      <c r="N26" s="47" cm="1">
        <f t="array" aca="1" ref="N26" ca="1">INDEX(INDIRECT("'"&amp;$D26&amp;"'!G:G"), $C26)</f>
        <v>50</v>
      </c>
      <c r="O26" s="47" cm="1">
        <f t="array" aca="1" ref="O26" ca="1">INDEX(INDIRECT("'"&amp;$D26&amp;"'!H:H"), $C26)</f>
        <v>50</v>
      </c>
      <c r="P26" s="47" cm="1">
        <f t="array" aca="1" ref="P26" ca="1">INDEX(INDIRECT("'"&amp;$D26&amp;"'!I:I"), $C26)</f>
        <v>18</v>
      </c>
      <c r="Q26" s="48" cm="1">
        <f t="array" aca="1" ref="Q26" ca="1">INDIRECT("'"&amp;$D26&amp;"'!J"&amp;$C26)</f>
        <v>16</v>
      </c>
      <c r="R26" s="47" cm="1">
        <f t="array" aca="1" ref="R26" ca="1">INDIRECT("'"&amp;$D26&amp;"'!K"&amp;$C26)</f>
        <v>4</v>
      </c>
      <c r="S26" s="47" cm="1">
        <f t="array" aca="1" ref="S26" ca="1">INDIRECT("'"&amp;$D26&amp;"'!L"&amp;$C26)</f>
        <v>15</v>
      </c>
      <c r="T26" s="104"/>
      <c r="U26" s="104"/>
      <c r="V26" s="104"/>
      <c r="W26" s="104"/>
      <c r="X26" s="104"/>
    </row>
    <row r="27" spans="1:24" x14ac:dyDescent="0.35">
      <c r="A27" s="104"/>
      <c r="B27">
        <v>4</v>
      </c>
      <c r="C27" s="45">
        <f t="shared" ca="1" si="16"/>
        <v>33</v>
      </c>
      <c r="D27" s="46" t="s">
        <v>146</v>
      </c>
      <c r="E27" s="46" cm="1">
        <f t="array" aca="1" ref="E27" ca="1">INDIRECT("'"&amp;$D27&amp;"'!O"&amp;$C27)</f>
        <v>4</v>
      </c>
      <c r="F27" s="47" t="str" cm="1">
        <f t="array" aca="1" ref="F27" ca="1">INDEX(INDIRECT("'"&amp;$D27&amp;"'!A:A"), $C27)</f>
        <v>White Church Hat</v>
      </c>
      <c r="G27" s="47" cm="1">
        <f t="array" aca="1" ref="G27" ca="1">INDIRECT("'"&amp;$D27&amp;"'!N"&amp;$C27)</f>
        <v>392</v>
      </c>
      <c r="H27" s="46" cm="1">
        <f t="array" aca="1" ref="H27" ca="1">INDIRECT("'"&amp;$D27&amp;"'!M"&amp;$C27)</f>
        <v>204.4</v>
      </c>
      <c r="I27" s="47" cm="1">
        <f t="array" aca="1" ref="I27" ca="1">INDEX(INDIRECT("'"&amp;$D27&amp;"'!B:B"), $C27)</f>
        <v>30</v>
      </c>
      <c r="J27" s="47" cm="1">
        <f t="array" aca="1" ref="J27" ca="1">INDEX(INDIRECT("'"&amp;$D27&amp;"'!C:C"), $C27)</f>
        <v>40</v>
      </c>
      <c r="K27" s="47" cm="1">
        <f t="array" aca="1" ref="K27" ca="1">INDEX(INDIRECT("'"&amp;$D27&amp;"'!D:D"), $C27)</f>
        <v>40</v>
      </c>
      <c r="L27" s="47" cm="1">
        <f t="array" aca="1" ref="L27" ca="1">INDEX(INDIRECT("'"&amp;$D27&amp;"'!E:E"), $C27)</f>
        <v>60</v>
      </c>
      <c r="M27" s="47" cm="1">
        <f t="array" aca="1" ref="M27" ca="1">INDEX(INDIRECT("'"&amp;$D27&amp;"'!F:F"), $C27)</f>
        <v>60</v>
      </c>
      <c r="N27" s="47" cm="1">
        <f t="array" aca="1" ref="N27" ca="1">INDEX(INDIRECT("'"&amp;$D27&amp;"'!G:G"), $C27)</f>
        <v>60</v>
      </c>
      <c r="O27" s="47" cm="1">
        <f t="array" aca="1" ref="O27" ca="1">INDEX(INDIRECT("'"&amp;$D27&amp;"'!H:H"), $C27)</f>
        <v>60</v>
      </c>
      <c r="P27" s="47" cm="1">
        <f t="array" aca="1" ref="P27" ca="1">INDEX(INDIRECT("'"&amp;$D27&amp;"'!I:I"), $C27)</f>
        <v>21</v>
      </c>
      <c r="Q27" s="48" cm="1">
        <f t="array" aca="1" ref="Q27" ca="1">INDIRECT("'"&amp;$D27&amp;"'!J"&amp;$C27)</f>
        <v>18</v>
      </c>
      <c r="R27" s="47" cm="1">
        <f t="array" aca="1" ref="R27" ca="1">INDIRECT("'"&amp;$D27&amp;"'!K"&amp;$C27)</f>
        <v>3</v>
      </c>
      <c r="S27" s="47" cm="1">
        <f t="array" aca="1" ref="S27" ca="1">INDIRECT("'"&amp;$D27&amp;"'!L"&amp;$C27)</f>
        <v>12</v>
      </c>
      <c r="T27" s="104"/>
      <c r="U27" s="104"/>
      <c r="V27" s="104"/>
      <c r="W27" s="104"/>
      <c r="X27" s="104"/>
    </row>
    <row r="28" spans="1:24" x14ac:dyDescent="0.35">
      <c r="A28" s="104"/>
      <c r="B28">
        <v>5</v>
      </c>
      <c r="C28" s="45">
        <f t="shared" ca="1" si="16"/>
        <v>3</v>
      </c>
      <c r="D28" s="46" t="s">
        <v>146</v>
      </c>
      <c r="E28" s="46" cm="1">
        <f t="array" aca="1" ref="E28" ca="1">INDIRECT("'"&amp;$D28&amp;"'!O"&amp;$C28)</f>
        <v>5</v>
      </c>
      <c r="F28" s="47" t="str" cm="1">
        <f t="array" aca="1" ref="F28" ca="1">INDEX(INDIRECT("'"&amp;$D28&amp;"'!A:A"), $C28)</f>
        <v>Black Church Hat</v>
      </c>
      <c r="G28" s="47" cm="1">
        <f t="array" aca="1" ref="G28" ca="1">INDIRECT("'"&amp;$D28&amp;"'!N"&amp;$C28)</f>
        <v>371</v>
      </c>
      <c r="H28" s="46" cm="1">
        <f t="array" aca="1" ref="H28" ca="1">INDIRECT("'"&amp;$D28&amp;"'!M"&amp;$C28)</f>
        <v>201.4</v>
      </c>
      <c r="I28" s="47" cm="1">
        <f t="array" aca="1" ref="I28" ca="1">INDEX(INDIRECT("'"&amp;$D28&amp;"'!B:B"), $C28)</f>
        <v>40</v>
      </c>
      <c r="J28" s="47" cm="1">
        <f t="array" aca="1" ref="J28" ca="1">INDEX(INDIRECT("'"&amp;$D28&amp;"'!C:C"), $C28)</f>
        <v>40</v>
      </c>
      <c r="K28" s="47" cm="1">
        <f t="array" aca="1" ref="K28" ca="1">INDEX(INDIRECT("'"&amp;$D28&amp;"'!D:D"), $C28)</f>
        <v>40</v>
      </c>
      <c r="L28" s="47" cm="1">
        <f t="array" aca="1" ref="L28" ca="1">INDEX(INDIRECT("'"&amp;$D28&amp;"'!E:E"), $C28)</f>
        <v>50</v>
      </c>
      <c r="M28" s="47" cm="1">
        <f t="array" aca="1" ref="M28" ca="1">INDEX(INDIRECT("'"&amp;$D28&amp;"'!F:F"), $C28)</f>
        <v>60</v>
      </c>
      <c r="N28" s="47" cm="1">
        <f t="array" aca="1" ref="N28" ca="1">INDEX(INDIRECT("'"&amp;$D28&amp;"'!G:G"), $C28)</f>
        <v>50</v>
      </c>
      <c r="O28" s="47" cm="1">
        <f t="array" aca="1" ref="O28" ca="1">INDEX(INDIRECT("'"&amp;$D28&amp;"'!H:H"), $C28)</f>
        <v>50</v>
      </c>
      <c r="P28" s="47" cm="1">
        <f t="array" aca="1" ref="P28" ca="1">INDEX(INDIRECT("'"&amp;$D28&amp;"'!I:I"), $C28)</f>
        <v>20</v>
      </c>
      <c r="Q28" s="48" cm="1">
        <f t="array" aca="1" ref="Q28" ca="1">INDIRECT("'"&amp;$D28&amp;"'!J"&amp;$C28)</f>
        <v>19</v>
      </c>
      <c r="R28" s="47" cm="1">
        <f t="array" aca="1" ref="R28" ca="1">INDIRECT("'"&amp;$D28&amp;"'!K"&amp;$C28)</f>
        <v>2</v>
      </c>
      <c r="S28" s="47" cm="1">
        <f t="array" aca="1" ref="S28" ca="1">INDIRECT("'"&amp;$D28&amp;"'!L"&amp;$C28)</f>
        <v>13</v>
      </c>
      <c r="T28" s="104"/>
      <c r="U28" s="104"/>
      <c r="V28" s="104"/>
      <c r="W28" s="104"/>
      <c r="X28" s="104"/>
    </row>
    <row r="29" spans="1:24" x14ac:dyDescent="0.35">
      <c r="A29" s="104"/>
      <c r="B29" s="104"/>
      <c r="C29" s="104"/>
      <c r="D29" s="104"/>
      <c r="E29" s="104"/>
      <c r="F29" s="104"/>
      <c r="G29" s="104"/>
      <c r="H29" s="104"/>
      <c r="I29" s="104"/>
      <c r="J29" s="104"/>
      <c r="K29" s="104"/>
      <c r="L29" s="104"/>
      <c r="M29" s="104"/>
      <c r="N29" s="104"/>
      <c r="O29" s="104"/>
      <c r="P29" s="104"/>
      <c r="Q29" s="104"/>
      <c r="R29" s="104"/>
      <c r="S29" s="104"/>
      <c r="T29" s="104"/>
      <c r="U29" s="104"/>
      <c r="V29" s="104"/>
      <c r="W29" s="104"/>
      <c r="X29" s="104"/>
    </row>
    <row r="30" spans="1:24" x14ac:dyDescent="0.35">
      <c r="A30" s="104"/>
      <c r="B30" s="104"/>
      <c r="C30" s="104"/>
      <c r="D30" s="104"/>
      <c r="E30" s="104"/>
      <c r="F30" s="104"/>
      <c r="G30" s="104"/>
      <c r="H30" s="104"/>
      <c r="I30" s="104"/>
      <c r="J30" s="104"/>
      <c r="K30" s="104"/>
      <c r="L30" s="104"/>
      <c r="M30" s="104"/>
      <c r="N30" s="104"/>
      <c r="O30" s="104"/>
      <c r="P30" s="104"/>
      <c r="Q30" s="104"/>
      <c r="R30" s="104"/>
      <c r="S30" s="104"/>
      <c r="T30" s="104"/>
      <c r="U30" s="104"/>
      <c r="V30" s="104"/>
      <c r="W30" s="104"/>
      <c r="X30" s="104"/>
    </row>
    <row r="31" spans="1:24" ht="23.5" x14ac:dyDescent="0.55000000000000004">
      <c r="A31" s="104"/>
      <c r="C31" s="9" t="s">
        <v>154</v>
      </c>
      <c r="D31" s="14" t="s">
        <v>194</v>
      </c>
      <c r="E31" s="7" t="s">
        <v>152</v>
      </c>
      <c r="F31" s="37" t="s">
        <v>141</v>
      </c>
      <c r="G31" s="37" t="s">
        <v>142</v>
      </c>
      <c r="H31" s="37" t="s">
        <v>143</v>
      </c>
      <c r="I31" s="37" t="s">
        <v>0</v>
      </c>
      <c r="J31" s="37" t="s">
        <v>1</v>
      </c>
      <c r="K31" s="37" t="s">
        <v>2</v>
      </c>
      <c r="L31" s="37" t="s">
        <v>3</v>
      </c>
      <c r="M31" s="37" t="s">
        <v>4</v>
      </c>
      <c r="N31" s="37" t="s">
        <v>5</v>
      </c>
      <c r="O31" s="37" t="s">
        <v>6</v>
      </c>
      <c r="P31" s="37" t="s">
        <v>7</v>
      </c>
      <c r="Q31" s="37" t="s">
        <v>8</v>
      </c>
      <c r="R31" s="37" t="s">
        <v>9</v>
      </c>
      <c r="S31" s="37" t="s">
        <v>10</v>
      </c>
      <c r="T31" s="104"/>
      <c r="U31" s="104"/>
      <c r="V31" s="104"/>
      <c r="W31" s="104"/>
      <c r="X31" s="104"/>
    </row>
    <row r="32" spans="1:24" x14ac:dyDescent="0.35">
      <c r="A32" s="104"/>
      <c r="B32">
        <v>1</v>
      </c>
      <c r="C32" s="45">
        <f ca="1">MATCH($B32, INDIRECT("'"&amp;$D32&amp;"'!P:P"), 0)</f>
        <v>14</v>
      </c>
      <c r="D32" s="49" t="s">
        <v>147</v>
      </c>
      <c r="E32" s="46" cm="1">
        <f t="array" aca="1" ref="E32" ca="1">INDIRECT("'"&amp;$D32&amp;"'!O"&amp;$C32)</f>
        <v>1</v>
      </c>
      <c r="F32" s="47" t="str" cm="1">
        <f t="array" aca="1" ref="F32" ca="1">INDEX(INDIRECT("'"&amp;$D32&amp;"'!A:A"), $C32)</f>
        <v>Executioner Garb</v>
      </c>
      <c r="G32" s="47" cm="1">
        <f t="array" aca="1" ref="G32" ca="1">INDIRECT("'"&amp;$D32&amp;"'!N"&amp;$C32)</f>
        <v>835</v>
      </c>
      <c r="H32" s="46" cm="1">
        <f t="array" aca="1" ref="H32" ca="1">INDIRECT("'"&amp;$D32&amp;"'!M"&amp;$C32)</f>
        <v>454.1</v>
      </c>
      <c r="I32" s="47" cm="1">
        <f t="array" aca="1" ref="I32" ca="1">INDEX(INDIRECT("'"&amp;$D32&amp;"'!B:B"), $C32)</f>
        <v>90</v>
      </c>
      <c r="J32" s="47" cm="1">
        <f t="array" aca="1" ref="J32" ca="1">INDEX(INDIRECT("'"&amp;$D32&amp;"'!C:C"), $C32)</f>
        <v>120</v>
      </c>
      <c r="K32" s="47" cm="1">
        <f t="array" aca="1" ref="K32" ca="1">INDEX(INDIRECT("'"&amp;$D32&amp;"'!D:D"), $C32)</f>
        <v>110</v>
      </c>
      <c r="L32" s="47" cm="1">
        <f t="array" aca="1" ref="L32" ca="1">INDEX(INDIRECT("'"&amp;$D32&amp;"'!E:E"), $C32)</f>
        <v>100</v>
      </c>
      <c r="M32" s="47" cm="1">
        <f t="array" aca="1" ref="M32" ca="1">INDEX(INDIRECT("'"&amp;$D32&amp;"'!F:F"), $C32)</f>
        <v>110</v>
      </c>
      <c r="N32" s="47" cm="1">
        <f t="array" aca="1" ref="N32" ca="1">INDEX(INDIRECT("'"&amp;$D32&amp;"'!G:G"), $C32)</f>
        <v>90</v>
      </c>
      <c r="O32" s="47" cm="1">
        <f t="array" aca="1" ref="O32" ca="1">INDEX(INDIRECT("'"&amp;$D32&amp;"'!H:H"), $C32)</f>
        <v>100</v>
      </c>
      <c r="P32" s="47" cm="1">
        <f t="array" aca="1" ref="P32" ca="1">INDEX(INDIRECT("'"&amp;$D32&amp;"'!I:I"), $C32)</f>
        <v>53</v>
      </c>
      <c r="Q32" s="48" cm="1">
        <f t="array" aca="1" ref="Q32" ca="1">INDIRECT("'"&amp;$D32&amp;"'!J"&amp;$C32)</f>
        <v>45</v>
      </c>
      <c r="R32" s="47" cm="1">
        <f t="array" aca="1" ref="R32" ca="1">INDIRECT("'"&amp;$D32&amp;"'!K"&amp;$C32)</f>
        <v>17</v>
      </c>
      <c r="S32" s="47" cm="1">
        <f t="array" aca="1" ref="S32" ca="1">INDIRECT("'"&amp;$D32&amp;"'!L"&amp;$C32)</f>
        <v>45</v>
      </c>
      <c r="T32" s="104"/>
      <c r="U32" s="104"/>
      <c r="V32" s="104"/>
      <c r="W32" s="104"/>
      <c r="X32" s="104"/>
    </row>
    <row r="33" spans="1:24" x14ac:dyDescent="0.35">
      <c r="A33" s="104"/>
      <c r="B33">
        <v>2</v>
      </c>
      <c r="C33" s="45">
        <f t="shared" ref="C33:C36" ca="1" si="17">MATCH($B33, INDIRECT("'"&amp;$D33&amp;"'!P:P"), 0)</f>
        <v>4</v>
      </c>
      <c r="D33" s="49" t="s">
        <v>147</v>
      </c>
      <c r="E33" s="46" cm="1">
        <f t="array" aca="1" ref="E33" ca="1">INDIRECT("'"&amp;$D33&amp;"'!O"&amp;$C33)</f>
        <v>2</v>
      </c>
      <c r="F33" s="47" t="str" cm="1">
        <f t="array" aca="1" ref="F33" ca="1">INDEX(INDIRECT("'"&amp;$D33&amp;"'!A:A"), $C33)</f>
        <v>Black Church Garb</v>
      </c>
      <c r="G33" s="47" cm="1">
        <f t="array" aca="1" ref="G33" ca="1">INDIRECT("'"&amp;$D33&amp;"'!N"&amp;$C33)</f>
        <v>847</v>
      </c>
      <c r="H33" s="46" cm="1">
        <f t="array" aca="1" ref="H33" ca="1">INDIRECT("'"&amp;$D33&amp;"'!M"&amp;$C33)</f>
        <v>443.1</v>
      </c>
      <c r="I33" s="47" cm="1">
        <f t="array" aca="1" ref="I33" ca="1">INDEX(INDIRECT("'"&amp;$D33&amp;"'!B:B"), $C33)</f>
        <v>90</v>
      </c>
      <c r="J33" s="47" cm="1">
        <f t="array" aca="1" ref="J33" ca="1">INDEX(INDIRECT("'"&amp;$D33&amp;"'!C:C"), $C33)</f>
        <v>90</v>
      </c>
      <c r="K33" s="47" cm="1">
        <f t="array" aca="1" ref="K33" ca="1">INDEX(INDIRECT("'"&amp;$D33&amp;"'!D:D"), $C33)</f>
        <v>110</v>
      </c>
      <c r="L33" s="47" cm="1">
        <f t="array" aca="1" ref="L33" ca="1">INDEX(INDIRECT("'"&amp;$D33&amp;"'!E:E"), $C33)</f>
        <v>110</v>
      </c>
      <c r="M33" s="47" cm="1">
        <f t="array" aca="1" ref="M33" ca="1">INDEX(INDIRECT("'"&amp;$D33&amp;"'!F:F"), $C33)</f>
        <v>110</v>
      </c>
      <c r="N33" s="47" cm="1">
        <f t="array" aca="1" ref="N33" ca="1">INDEX(INDIRECT("'"&amp;$D33&amp;"'!G:G"), $C33)</f>
        <v>100</v>
      </c>
      <c r="O33" s="47" cm="1">
        <f t="array" aca="1" ref="O33" ca="1">INDEX(INDIRECT("'"&amp;$D33&amp;"'!H:H"), $C33)</f>
        <v>110</v>
      </c>
      <c r="P33" s="47" cm="1">
        <f t="array" aca="1" ref="P33" ca="1">INDEX(INDIRECT("'"&amp;$D33&amp;"'!I:I"), $C33)</f>
        <v>60</v>
      </c>
      <c r="Q33" s="48" cm="1">
        <f t="array" aca="1" ref="Q33" ca="1">INDIRECT("'"&amp;$D33&amp;"'!J"&amp;$C33)</f>
        <v>58</v>
      </c>
      <c r="R33" s="47" cm="1">
        <f t="array" aca="1" ref="R33" ca="1">INDIRECT("'"&amp;$D33&amp;"'!K"&amp;$C33)</f>
        <v>9</v>
      </c>
      <c r="S33" s="47" cm="1">
        <f t="array" aca="1" ref="S33" ca="1">INDIRECT("'"&amp;$D33&amp;"'!L"&amp;$C33)</f>
        <v>40</v>
      </c>
      <c r="T33" s="104"/>
      <c r="U33" s="104"/>
      <c r="V33" s="104"/>
      <c r="W33" s="104"/>
      <c r="X33" s="104"/>
    </row>
    <row r="34" spans="1:24" x14ac:dyDescent="0.35">
      <c r="A34" s="104"/>
      <c r="B34">
        <v>3</v>
      </c>
      <c r="C34" s="45">
        <f t="shared" ca="1" si="17"/>
        <v>16</v>
      </c>
      <c r="D34" s="49" t="s">
        <v>147</v>
      </c>
      <c r="E34" s="46" cm="1">
        <f t="array" aca="1" ref="E34" ca="1">INDIRECT("'"&amp;$D34&amp;"'!O"&amp;$C34)</f>
        <v>3</v>
      </c>
      <c r="F34" s="47" t="str" cm="1">
        <f t="array" aca="1" ref="F34" ca="1">INDEX(INDIRECT("'"&amp;$D34&amp;"'!A:A"), $C34)</f>
        <v>Gascoigne's Garb</v>
      </c>
      <c r="G34" s="47" cm="1">
        <f t="array" aca="1" ref="G34" ca="1">INDIRECT("'"&amp;$D34&amp;"'!N"&amp;$C34)</f>
        <v>815</v>
      </c>
      <c r="H34" s="46" cm="1">
        <f t="array" aca="1" ref="H34" ca="1">INDIRECT("'"&amp;$D34&amp;"'!M"&amp;$C34)</f>
        <v>443</v>
      </c>
      <c r="I34" s="47" cm="1">
        <f t="array" aca="1" ref="I34" ca="1">INDEX(INDIRECT("'"&amp;$D34&amp;"'!B:B"), $C34)</f>
        <v>90</v>
      </c>
      <c r="J34" s="47" cm="1">
        <f t="array" aca="1" ref="J34" ca="1">INDEX(INDIRECT("'"&amp;$D34&amp;"'!C:C"), $C34)</f>
        <v>110</v>
      </c>
      <c r="K34" s="47" cm="1">
        <f t="array" aca="1" ref="K34" ca="1">INDEX(INDIRECT("'"&amp;$D34&amp;"'!D:D"), $C34)</f>
        <v>100</v>
      </c>
      <c r="L34" s="47" cm="1">
        <f t="array" aca="1" ref="L34" ca="1">INDEX(INDIRECT("'"&amp;$D34&amp;"'!E:E"), $C34)</f>
        <v>80</v>
      </c>
      <c r="M34" s="47" cm="1">
        <f t="array" aca="1" ref="M34" ca="1">INDEX(INDIRECT("'"&amp;$D34&amp;"'!F:F"), $C34)</f>
        <v>110</v>
      </c>
      <c r="N34" s="47" cm="1">
        <f t="array" aca="1" ref="N34" ca="1">INDEX(INDIRECT("'"&amp;$D34&amp;"'!G:G"), $C34)</f>
        <v>110</v>
      </c>
      <c r="O34" s="47" cm="1">
        <f t="array" aca="1" ref="O34" ca="1">INDEX(INDIRECT("'"&amp;$D34&amp;"'!H:H"), $C34)</f>
        <v>100</v>
      </c>
      <c r="P34" s="47" cm="1">
        <f t="array" aca="1" ref="P34" ca="1">INDEX(INDIRECT("'"&amp;$D34&amp;"'!I:I"), $C34)</f>
        <v>52</v>
      </c>
      <c r="Q34" s="48" cm="1">
        <f t="array" aca="1" ref="Q34" ca="1">INDIRECT("'"&amp;$D34&amp;"'!J"&amp;$C34)</f>
        <v>40</v>
      </c>
      <c r="R34" s="47" cm="1">
        <f t="array" aca="1" ref="R34" ca="1">INDIRECT("'"&amp;$D34&amp;"'!K"&amp;$C34)</f>
        <v>23</v>
      </c>
      <c r="S34" s="47" cm="1">
        <f t="array" aca="1" ref="S34" ca="1">INDIRECT("'"&amp;$D34&amp;"'!L"&amp;$C34)</f>
        <v>45</v>
      </c>
      <c r="T34" s="104"/>
      <c r="U34" s="104"/>
      <c r="V34" s="104"/>
      <c r="W34" s="104"/>
      <c r="X34" s="104"/>
    </row>
    <row r="35" spans="1:24" x14ac:dyDescent="0.35">
      <c r="A35" s="104"/>
      <c r="B35">
        <v>4</v>
      </c>
      <c r="C35" s="45">
        <f t="shared" ca="1" si="17"/>
        <v>19</v>
      </c>
      <c r="D35" s="49" t="s">
        <v>147</v>
      </c>
      <c r="E35" s="46" cm="1">
        <f t="array" aca="1" ref="E35" ca="1">INDIRECT("'"&amp;$D35&amp;"'!O"&amp;$C35)</f>
        <v>4</v>
      </c>
      <c r="F35" s="47" t="str" cm="1">
        <f t="array" aca="1" ref="F35" ca="1">INDEX(INDIRECT("'"&amp;$D35&amp;"'!A:A"), $C35)</f>
        <v>Harrowed Garb</v>
      </c>
      <c r="G35" s="47" cm="1">
        <f t="array" aca="1" ref="G35" ca="1">INDIRECT("'"&amp;$D35&amp;"'!N"&amp;$C35)</f>
        <v>813</v>
      </c>
      <c r="H35" s="46" cm="1">
        <f t="array" aca="1" ref="H35" ca="1">INDIRECT("'"&amp;$D35&amp;"'!M"&amp;$C35)</f>
        <v>436.9</v>
      </c>
      <c r="I35" s="47" cm="1">
        <f t="array" aca="1" ref="I35" ca="1">INDEX(INDIRECT("'"&amp;$D35&amp;"'!B:B"), $C35)</f>
        <v>120</v>
      </c>
      <c r="J35" s="47" cm="1">
        <f t="array" aca="1" ref="J35" ca="1">INDEX(INDIRECT("'"&amp;$D35&amp;"'!C:C"), $C35)</f>
        <v>80</v>
      </c>
      <c r="K35" s="47" cm="1">
        <f t="array" aca="1" ref="K35" ca="1">INDEX(INDIRECT("'"&amp;$D35&amp;"'!D:D"), $C35)</f>
        <v>90</v>
      </c>
      <c r="L35" s="47" cm="1">
        <f t="array" aca="1" ref="L35" ca="1">INDEX(INDIRECT("'"&amp;$D35&amp;"'!E:E"), $C35)</f>
        <v>90</v>
      </c>
      <c r="M35" s="47" cm="1">
        <f t="array" aca="1" ref="M35" ca="1">INDEX(INDIRECT("'"&amp;$D35&amp;"'!F:F"), $C35)</f>
        <v>110</v>
      </c>
      <c r="N35" s="47" cm="1">
        <f t="array" aca="1" ref="N35" ca="1">INDEX(INDIRECT("'"&amp;$D35&amp;"'!G:G"), $C35)</f>
        <v>90</v>
      </c>
      <c r="O35" s="47" cm="1">
        <f t="array" aca="1" ref="O35" ca="1">INDEX(INDIRECT("'"&amp;$D35&amp;"'!H:H"), $C35)</f>
        <v>110</v>
      </c>
      <c r="P35" s="47" cm="1">
        <f t="array" aca="1" ref="P35" ca="1">INDEX(INDIRECT("'"&amp;$D35&amp;"'!I:I"), $C35)</f>
        <v>56</v>
      </c>
      <c r="Q35" s="48" cm="1">
        <f t="array" aca="1" ref="Q35" ca="1">INDIRECT("'"&amp;$D35&amp;"'!J"&amp;$C35)</f>
        <v>58</v>
      </c>
      <c r="R35" s="47" cm="1">
        <f t="array" aca="1" ref="R35" ca="1">INDIRECT("'"&amp;$D35&amp;"'!K"&amp;$C35)</f>
        <v>9</v>
      </c>
      <c r="S35" s="47" cm="1">
        <f t="array" aca="1" ref="S35" ca="1">INDIRECT("'"&amp;$D35&amp;"'!L"&amp;$C35)</f>
        <v>44</v>
      </c>
      <c r="T35" s="104"/>
      <c r="U35" s="104"/>
      <c r="V35" s="104"/>
      <c r="W35" s="104"/>
      <c r="X35" s="104"/>
    </row>
    <row r="36" spans="1:24" x14ac:dyDescent="0.35">
      <c r="A36" s="104"/>
      <c r="B36">
        <v>5</v>
      </c>
      <c r="C36" s="45">
        <f t="shared" ca="1" si="17"/>
        <v>32</v>
      </c>
      <c r="D36" s="49" t="s">
        <v>147</v>
      </c>
      <c r="E36" s="46" cm="1">
        <f t="array" aca="1" ref="E36" ca="1">INDIRECT("'"&amp;$D36&amp;"'!O"&amp;$C36)</f>
        <v>5</v>
      </c>
      <c r="F36" s="47" t="str" cm="1">
        <f t="array" aca="1" ref="F36" ca="1">INDEX(INDIRECT("'"&amp;$D36&amp;"'!A:A"), $C36)</f>
        <v>Tomb Prospector Garb</v>
      </c>
      <c r="G36" s="47" cm="1">
        <f t="array" aca="1" ref="G36" ca="1">INDIRECT("'"&amp;$D36&amp;"'!N"&amp;$C36)</f>
        <v>825</v>
      </c>
      <c r="H36" s="46" cm="1">
        <f t="array" aca="1" ref="H36" ca="1">INDIRECT("'"&amp;$D36&amp;"'!M"&amp;$C36)</f>
        <v>434</v>
      </c>
      <c r="I36" s="47" cm="1">
        <f t="array" aca="1" ref="I36" ca="1">INDEX(INDIRECT("'"&amp;$D36&amp;"'!B:B"), $C36)</f>
        <v>90</v>
      </c>
      <c r="J36" s="47" cm="1">
        <f t="array" aca="1" ref="J36" ca="1">INDEX(INDIRECT("'"&amp;$D36&amp;"'!C:C"), $C36)</f>
        <v>90</v>
      </c>
      <c r="K36" s="47" cm="1">
        <f t="array" aca="1" ref="K36" ca="1">INDEX(INDIRECT("'"&amp;$D36&amp;"'!D:D"), $C36)</f>
        <v>100</v>
      </c>
      <c r="L36" s="47" cm="1">
        <f t="array" aca="1" ref="L36" ca="1">INDEX(INDIRECT("'"&amp;$D36&amp;"'!E:E"), $C36)</f>
        <v>90</v>
      </c>
      <c r="M36" s="47" cm="1">
        <f t="array" aca="1" ref="M36" ca="1">INDEX(INDIRECT("'"&amp;$D36&amp;"'!F:F"), $C36)</f>
        <v>120</v>
      </c>
      <c r="N36" s="47" cm="1">
        <f t="array" aca="1" ref="N36" ca="1">INDEX(INDIRECT("'"&amp;$D36&amp;"'!G:G"), $C36)</f>
        <v>100</v>
      </c>
      <c r="O36" s="47" cm="1">
        <f t="array" aca="1" ref="O36" ca="1">INDEX(INDIRECT("'"&amp;$D36&amp;"'!H:H"), $C36)</f>
        <v>110</v>
      </c>
      <c r="P36" s="47" cm="1">
        <f t="array" aca="1" ref="P36" ca="1">INDEX(INDIRECT("'"&amp;$D36&amp;"'!I:I"), $C36)</f>
        <v>55</v>
      </c>
      <c r="Q36" s="48" cm="1">
        <f t="array" aca="1" ref="Q36" ca="1">INDIRECT("'"&amp;$D36&amp;"'!J"&amp;$C36)</f>
        <v>57</v>
      </c>
      <c r="R36" s="47" cm="1">
        <f t="array" aca="1" ref="R36" ca="1">INDIRECT("'"&amp;$D36&amp;"'!K"&amp;$C36)</f>
        <v>13</v>
      </c>
      <c r="S36" s="47" cm="1">
        <f t="array" aca="1" ref="S36" ca="1">INDIRECT("'"&amp;$D36&amp;"'!L"&amp;$C36)</f>
        <v>45</v>
      </c>
      <c r="T36" s="104"/>
      <c r="U36" s="104"/>
      <c r="V36" s="104"/>
      <c r="W36" s="104"/>
      <c r="X36" s="104"/>
    </row>
    <row r="37" spans="1:24" x14ac:dyDescent="0.35">
      <c r="A37" s="104"/>
      <c r="B37" s="104"/>
      <c r="C37" s="104"/>
      <c r="D37" s="104"/>
      <c r="E37" s="104"/>
      <c r="F37" s="104"/>
      <c r="G37" s="104"/>
      <c r="H37" s="104"/>
      <c r="I37" s="104"/>
      <c r="J37" s="104"/>
      <c r="K37" s="104"/>
      <c r="L37" s="104"/>
      <c r="M37" s="104"/>
      <c r="N37" s="104"/>
      <c r="O37" s="104"/>
      <c r="P37" s="104"/>
      <c r="Q37" s="104"/>
      <c r="R37" s="104"/>
      <c r="S37" s="104"/>
      <c r="T37" s="104"/>
      <c r="U37" s="104"/>
      <c r="V37" s="104"/>
      <c r="W37" s="104"/>
      <c r="X37" s="104"/>
    </row>
    <row r="38" spans="1:24" x14ac:dyDescent="0.35">
      <c r="A38" s="104"/>
      <c r="B38" s="104"/>
      <c r="C38" s="104"/>
      <c r="D38" s="104"/>
      <c r="E38" s="104"/>
      <c r="F38" s="104"/>
      <c r="G38" s="104"/>
      <c r="H38" s="104"/>
      <c r="I38" s="104"/>
      <c r="J38" s="104"/>
      <c r="K38" s="104"/>
      <c r="L38" s="104"/>
      <c r="M38" s="104"/>
      <c r="N38" s="104"/>
      <c r="O38" s="104"/>
      <c r="P38" s="104"/>
      <c r="Q38" s="104"/>
      <c r="R38" s="104"/>
      <c r="S38" s="104"/>
      <c r="T38" s="104"/>
      <c r="U38" s="104"/>
      <c r="V38" s="104"/>
      <c r="W38" s="104"/>
      <c r="X38" s="104"/>
    </row>
    <row r="39" spans="1:24" ht="23.5" x14ac:dyDescent="0.55000000000000004">
      <c r="A39" s="104"/>
      <c r="C39" s="9" t="s">
        <v>155</v>
      </c>
      <c r="D39" s="14" t="s">
        <v>194</v>
      </c>
      <c r="E39" s="7" t="s">
        <v>152</v>
      </c>
      <c r="F39" s="37" t="s">
        <v>141</v>
      </c>
      <c r="G39" s="37" t="s">
        <v>142</v>
      </c>
      <c r="H39" s="37" t="s">
        <v>143</v>
      </c>
      <c r="I39" s="37" t="s">
        <v>0</v>
      </c>
      <c r="J39" s="37" t="s">
        <v>1</v>
      </c>
      <c r="K39" s="37" t="s">
        <v>2</v>
      </c>
      <c r="L39" s="37" t="s">
        <v>3</v>
      </c>
      <c r="M39" s="37" t="s">
        <v>4</v>
      </c>
      <c r="N39" s="37" t="s">
        <v>5</v>
      </c>
      <c r="O39" s="37" t="s">
        <v>6</v>
      </c>
      <c r="P39" s="37" t="s">
        <v>7</v>
      </c>
      <c r="Q39" s="37" t="s">
        <v>8</v>
      </c>
      <c r="R39" s="37" t="s">
        <v>9</v>
      </c>
      <c r="S39" s="37" t="s">
        <v>10</v>
      </c>
      <c r="T39" s="104"/>
      <c r="U39" s="104"/>
      <c r="V39" s="104"/>
      <c r="W39" s="104"/>
      <c r="X39" s="104"/>
    </row>
    <row r="40" spans="1:24" x14ac:dyDescent="0.35">
      <c r="A40" s="104"/>
      <c r="B40">
        <v>1</v>
      </c>
      <c r="C40" s="45">
        <f ca="1">MATCH($B40, INDIRECT("'"&amp;$D40&amp;"'!P:P"), 0)</f>
        <v>9</v>
      </c>
      <c r="D40" s="46" t="s">
        <v>139</v>
      </c>
      <c r="E40" s="46" cm="1">
        <f t="array" aca="1" ref="E40" ca="1">INDIRECT("'"&amp;$D40&amp;"'!O"&amp;$C40)</f>
        <v>1</v>
      </c>
      <c r="F40" s="47" t="str" cm="1">
        <f t="array" aca="1" ref="F40" ca="1">INDEX(INDIRECT("'"&amp;$D40&amp;"'!A:A"), $C40)</f>
        <v>Constable's Gloves</v>
      </c>
      <c r="G40" s="47" cm="1">
        <f t="array" aca="1" ref="G40" ca="1">INDIRECT("'"&amp;$D40&amp;"'!N"&amp;$C40)</f>
        <v>451</v>
      </c>
      <c r="H40" s="46" cm="1">
        <f t="array" aca="1" ref="H40" ca="1">INDIRECT("'"&amp;$D40&amp;"'!M"&amp;$C40)</f>
        <v>247.5</v>
      </c>
      <c r="I40" s="47" cm="1">
        <f t="array" aca="1" ref="I40" ca="1">INDEX(INDIRECT("'"&amp;$D40&amp;"'!B:B"), $C40)</f>
        <v>60</v>
      </c>
      <c r="J40" s="47" cm="1">
        <f t="array" aca="1" ref="J40" ca="1">INDEX(INDIRECT("'"&amp;$D40&amp;"'!C:C"), $C40)</f>
        <v>60</v>
      </c>
      <c r="K40" s="47" cm="1">
        <f t="array" aca="1" ref="K40" ca="1">INDEX(INDIRECT("'"&amp;$D40&amp;"'!D:D"), $C40)</f>
        <v>50</v>
      </c>
      <c r="L40" s="47" cm="1">
        <f t="array" aca="1" ref="L40" ca="1">INDEX(INDIRECT("'"&amp;$D40&amp;"'!E:E"), $C40)</f>
        <v>50</v>
      </c>
      <c r="M40" s="47" cm="1">
        <f t="array" aca="1" ref="M40" ca="1">INDEX(INDIRECT("'"&amp;$D40&amp;"'!F:F"), $C40)</f>
        <v>50</v>
      </c>
      <c r="N40" s="47" cm="1">
        <f t="array" aca="1" ref="N40" ca="1">INDEX(INDIRECT("'"&amp;$D40&amp;"'!G:G"), $C40)</f>
        <v>60</v>
      </c>
      <c r="O40" s="47" cm="1">
        <f t="array" aca="1" ref="O40" ca="1">INDEX(INDIRECT("'"&amp;$D40&amp;"'!H:H"), $C40)</f>
        <v>60</v>
      </c>
      <c r="P40" s="47" cm="1">
        <f t="array" aca="1" ref="P40" ca="1">INDEX(INDIRECT("'"&amp;$D40&amp;"'!I:I"), $C40)</f>
        <v>32</v>
      </c>
      <c r="Q40" s="48" cm="1">
        <f t="array" aca="1" ref="Q40" ca="1">INDIRECT("'"&amp;$D40&amp;"'!J"&amp;$C40)</f>
        <v>17</v>
      </c>
      <c r="R40" s="47" cm="1">
        <f t="array" aca="1" ref="R40" ca="1">INDIRECT("'"&amp;$D40&amp;"'!K"&amp;$C40)</f>
        <v>12</v>
      </c>
      <c r="S40" s="47" cm="1">
        <f t="array" aca="1" ref="S40" ca="1">INDIRECT("'"&amp;$D40&amp;"'!L"&amp;$C40)</f>
        <v>31</v>
      </c>
      <c r="T40" s="104"/>
      <c r="U40" s="104"/>
      <c r="V40" s="104"/>
      <c r="W40" s="104"/>
      <c r="X40" s="104"/>
    </row>
    <row r="41" spans="1:24" x14ac:dyDescent="0.35">
      <c r="A41" s="104"/>
      <c r="B41">
        <v>2</v>
      </c>
      <c r="C41" s="45">
        <f t="shared" ref="C41:C44" ca="1" si="18">MATCH($B41, INDIRECT("'"&amp;$D41&amp;"'!P:P"), 0)</f>
        <v>22</v>
      </c>
      <c r="D41" s="46" t="s">
        <v>139</v>
      </c>
      <c r="E41" s="46" cm="1">
        <f t="array" aca="1" ref="E41" ca="1">INDIRECT("'"&amp;$D41&amp;"'!O"&amp;$C41)</f>
        <v>2</v>
      </c>
      <c r="F41" s="47" t="str" cm="1">
        <f t="array" aca="1" ref="F41" ca="1">INDEX(INDIRECT("'"&amp;$D41&amp;"'!A:A"), $C41)</f>
        <v>Old Hunter Gloves</v>
      </c>
      <c r="G41" s="47" cm="1">
        <f t="array" aca="1" ref="G41" ca="1">INDIRECT("'"&amp;$D41&amp;"'!N"&amp;$C41)</f>
        <v>423</v>
      </c>
      <c r="H41" s="46" cm="1">
        <f t="array" aca="1" ref="H41" ca="1">INDIRECT("'"&amp;$D41&amp;"'!M"&amp;$C41)</f>
        <v>243.5</v>
      </c>
      <c r="I41" s="47" cm="1">
        <f t="array" aca="1" ref="I41" ca="1">INDEX(INDIRECT("'"&amp;$D41&amp;"'!B:B"), $C41)</f>
        <v>60</v>
      </c>
      <c r="J41" s="47" cm="1">
        <f t="array" aca="1" ref="J41" ca="1">INDEX(INDIRECT("'"&amp;$D41&amp;"'!C:C"), $C41)</f>
        <v>50</v>
      </c>
      <c r="K41" s="47" cm="1">
        <f t="array" aca="1" ref="K41" ca="1">INDEX(INDIRECT("'"&amp;$D41&amp;"'!D:D"), $C41)</f>
        <v>50</v>
      </c>
      <c r="L41" s="47" cm="1">
        <f t="array" aca="1" ref="L41" ca="1">INDEX(INDIRECT("'"&amp;$D41&amp;"'!E:E"), $C41)</f>
        <v>60</v>
      </c>
      <c r="M41" s="47" cm="1">
        <f t="array" aca="1" ref="M41" ca="1">INDEX(INDIRECT("'"&amp;$D41&amp;"'!F:F"), $C41)</f>
        <v>50</v>
      </c>
      <c r="N41" s="47" cm="1">
        <f t="array" aca="1" ref="N41" ca="1">INDEX(INDIRECT("'"&amp;$D41&amp;"'!G:G"), $C41)</f>
        <v>70</v>
      </c>
      <c r="O41" s="47" cm="1">
        <f t="array" aca="1" ref="O41" ca="1">INDEX(INDIRECT("'"&amp;$D41&amp;"'!H:H"), $C41)</f>
        <v>40</v>
      </c>
      <c r="P41" s="47" cm="1">
        <f t="array" aca="1" ref="P41" ca="1">INDEX(INDIRECT("'"&amp;$D41&amp;"'!I:I"), $C41)</f>
        <v>10</v>
      </c>
      <c r="Q41" s="48" cm="1">
        <f t="array" aca="1" ref="Q41" ca="1">INDIRECT("'"&amp;$D41&amp;"'!J"&amp;$C41)</f>
        <v>10</v>
      </c>
      <c r="R41" s="47" cm="1">
        <f t="array" aca="1" ref="R41" ca="1">INDIRECT("'"&amp;$D41&amp;"'!K"&amp;$C41)</f>
        <v>23</v>
      </c>
      <c r="S41" s="47" cm="1">
        <f t="array" aca="1" ref="S41" ca="1">INDIRECT("'"&amp;$D41&amp;"'!L"&amp;$C41)</f>
        <v>29</v>
      </c>
      <c r="T41" s="104"/>
      <c r="U41" s="104"/>
      <c r="V41" s="104"/>
      <c r="W41" s="104"/>
      <c r="X41" s="104"/>
    </row>
    <row r="42" spans="1:24" x14ac:dyDescent="0.35">
      <c r="A42" s="104"/>
      <c r="B42">
        <v>3</v>
      </c>
      <c r="C42" s="45">
        <f t="shared" ca="1" si="18"/>
        <v>13</v>
      </c>
      <c r="D42" s="46" t="s">
        <v>139</v>
      </c>
      <c r="E42" s="46" cm="1">
        <f t="array" aca="1" ref="E42" ca="1">INDIRECT("'"&amp;$D42&amp;"'!O"&amp;$C42)</f>
        <v>3</v>
      </c>
      <c r="F42" s="47" t="str" cm="1">
        <f t="array" aca="1" ref="F42" ca="1">INDEX(INDIRECT("'"&amp;$D42&amp;"'!A:A"), $C42)</f>
        <v>Gascoigne's Gloves</v>
      </c>
      <c r="G42" s="47" cm="1">
        <f t="array" aca="1" ref="G42" ca="1">INDIRECT("'"&amp;$D42&amp;"'!N"&amp;$C42)</f>
        <v>431</v>
      </c>
      <c r="H42" s="46" cm="1">
        <f t="array" aca="1" ref="H42" ca="1">INDIRECT("'"&amp;$D42&amp;"'!M"&amp;$C42)</f>
        <v>234.6</v>
      </c>
      <c r="I42" s="47" cm="1">
        <f t="array" aca="1" ref="I42" ca="1">INDEX(INDIRECT("'"&amp;$D42&amp;"'!B:B"), $C42)</f>
        <v>40</v>
      </c>
      <c r="J42" s="47" cm="1">
        <f t="array" aca="1" ref="J42" ca="1">INDEX(INDIRECT("'"&amp;$D42&amp;"'!C:C"), $C42)</f>
        <v>60</v>
      </c>
      <c r="K42" s="47" cm="1">
        <f t="array" aca="1" ref="K42" ca="1">INDEX(INDIRECT("'"&amp;$D42&amp;"'!D:D"), $C42)</f>
        <v>60</v>
      </c>
      <c r="L42" s="47" cm="1">
        <f t="array" aca="1" ref="L42" ca="1">INDEX(INDIRECT("'"&amp;$D42&amp;"'!E:E"), $C42)</f>
        <v>50</v>
      </c>
      <c r="M42" s="47" cm="1">
        <f t="array" aca="1" ref="M42" ca="1">INDEX(INDIRECT("'"&amp;$D42&amp;"'!F:F"), $C42)</f>
        <v>60</v>
      </c>
      <c r="N42" s="47" cm="1">
        <f t="array" aca="1" ref="N42" ca="1">INDEX(INDIRECT("'"&amp;$D42&amp;"'!G:G"), $C42)</f>
        <v>60</v>
      </c>
      <c r="O42" s="47" cm="1">
        <f t="array" aca="1" ref="O42" ca="1">INDEX(INDIRECT("'"&amp;$D42&amp;"'!H:H"), $C42)</f>
        <v>40</v>
      </c>
      <c r="P42" s="47" cm="1">
        <f t="array" aca="1" ref="P42" ca="1">INDEX(INDIRECT("'"&amp;$D42&amp;"'!I:I"), $C42)</f>
        <v>28</v>
      </c>
      <c r="Q42" s="48" cm="1">
        <f t="array" aca="1" ref="Q42" ca="1">INDIRECT("'"&amp;$D42&amp;"'!J"&amp;$C42)</f>
        <v>21</v>
      </c>
      <c r="R42" s="47" cm="1">
        <f t="array" aca="1" ref="R42" ca="1">INDIRECT("'"&amp;$D42&amp;"'!K"&amp;$C42)</f>
        <v>12</v>
      </c>
      <c r="S42" s="47" cm="1">
        <f t="array" aca="1" ref="S42" ca="1">INDIRECT("'"&amp;$D42&amp;"'!L"&amp;$C42)</f>
        <v>24</v>
      </c>
      <c r="T42" s="104"/>
      <c r="U42" s="104"/>
      <c r="V42" s="104"/>
      <c r="W42" s="104"/>
      <c r="X42" s="104"/>
    </row>
    <row r="43" spans="1:24" x14ac:dyDescent="0.35">
      <c r="A43" s="104"/>
      <c r="B43">
        <v>4</v>
      </c>
      <c r="C43" s="45">
        <f t="shared" ca="1" si="18"/>
        <v>20</v>
      </c>
      <c r="D43" s="46" t="s">
        <v>139</v>
      </c>
      <c r="E43" s="46" cm="1">
        <f t="array" aca="1" ref="E43" ca="1">INDIRECT("'"&amp;$D43&amp;"'!O"&amp;$C43)</f>
        <v>4</v>
      </c>
      <c r="F43" s="47" t="str" cm="1">
        <f t="array" aca="1" ref="F43" ca="1">INDEX(INDIRECT("'"&amp;$D43&amp;"'!A:A"), $C43)</f>
        <v>Maria Hunter Gloves</v>
      </c>
      <c r="G43" s="47" cm="1">
        <f t="array" aca="1" ref="G43" ca="1">INDIRECT("'"&amp;$D43&amp;"'!N"&amp;$C43)</f>
        <v>422</v>
      </c>
      <c r="H43" s="46" cm="1">
        <f t="array" aca="1" ref="H43" ca="1">INDIRECT("'"&amp;$D43&amp;"'!M"&amp;$C43)</f>
        <v>228.5</v>
      </c>
      <c r="I43" s="47" cm="1">
        <f t="array" aca="1" ref="I43" ca="1">INDEX(INDIRECT("'"&amp;$D43&amp;"'!B:B"), $C43)</f>
        <v>50</v>
      </c>
      <c r="J43" s="47" cm="1">
        <f t="array" aca="1" ref="J43" ca="1">INDEX(INDIRECT("'"&amp;$D43&amp;"'!C:C"), $C43)</f>
        <v>50</v>
      </c>
      <c r="K43" s="47" cm="1">
        <f t="array" aca="1" ref="K43" ca="1">INDEX(INDIRECT("'"&amp;$D43&amp;"'!D:D"), $C43)</f>
        <v>50</v>
      </c>
      <c r="L43" s="47" cm="1">
        <f t="array" aca="1" ref="L43" ca="1">INDEX(INDIRECT("'"&amp;$D43&amp;"'!E:E"), $C43)</f>
        <v>70</v>
      </c>
      <c r="M43" s="47" cm="1">
        <f t="array" aca="1" ref="M43" ca="1">INDEX(INDIRECT("'"&amp;$D43&amp;"'!F:F"), $C43)</f>
        <v>50</v>
      </c>
      <c r="N43" s="47" cm="1">
        <f t="array" aca="1" ref="N43" ca="1">INDEX(INDIRECT("'"&amp;$D43&amp;"'!G:G"), $C43)</f>
        <v>50</v>
      </c>
      <c r="O43" s="47" cm="1">
        <f t="array" aca="1" ref="O43" ca="1">INDEX(INDIRECT("'"&amp;$D43&amp;"'!H:H"), $C43)</f>
        <v>50</v>
      </c>
      <c r="P43" s="47" cm="1">
        <f t="array" aca="1" ref="P43" ca="1">INDEX(INDIRECT("'"&amp;$D43&amp;"'!I:I"), $C43)</f>
        <v>10</v>
      </c>
      <c r="Q43" s="48" cm="1">
        <f t="array" aca="1" ref="Q43" ca="1">INDIRECT("'"&amp;$D43&amp;"'!J"&amp;$C43)</f>
        <v>27</v>
      </c>
      <c r="R43" s="47" cm="1">
        <f t="array" aca="1" ref="R43" ca="1">INDIRECT("'"&amp;$D43&amp;"'!K"&amp;$C43)</f>
        <v>15</v>
      </c>
      <c r="S43" s="47" cm="1">
        <f t="array" aca="1" ref="S43" ca="1">INDIRECT("'"&amp;$D43&amp;"'!L"&amp;$C43)</f>
        <v>8</v>
      </c>
      <c r="T43" s="104"/>
      <c r="U43" s="104"/>
      <c r="V43" s="104"/>
      <c r="W43" s="104"/>
      <c r="X43" s="104"/>
    </row>
    <row r="44" spans="1:24" x14ac:dyDescent="0.35">
      <c r="A44" s="104"/>
      <c r="B44">
        <v>5</v>
      </c>
      <c r="C44" s="45">
        <f t="shared" ca="1" si="18"/>
        <v>10</v>
      </c>
      <c r="D44" s="46" t="s">
        <v>139</v>
      </c>
      <c r="E44" s="46" cm="1">
        <f t="array" aca="1" ref="E44" ca="1">INDIRECT("'"&amp;$D44&amp;"'!O"&amp;$C44)</f>
        <v>5</v>
      </c>
      <c r="F44" s="47" t="str" cm="1">
        <f t="array" aca="1" ref="F44" ca="1">INDEX(INDIRECT("'"&amp;$D44&amp;"'!A:A"), $C44)</f>
        <v>Crowfeather Manchettes</v>
      </c>
      <c r="G44" s="47" cm="1">
        <f t="array" aca="1" ref="G44" ca="1">INDIRECT("'"&amp;$D44&amp;"'!N"&amp;$C44)</f>
        <v>430</v>
      </c>
      <c r="H44" s="46" cm="1">
        <f t="array" aca="1" ref="H44" ca="1">INDIRECT("'"&amp;$D44&amp;"'!M"&amp;$C44)</f>
        <v>226.5</v>
      </c>
      <c r="I44" s="47" cm="1">
        <f t="array" aca="1" ref="I44" ca="1">INDEX(INDIRECT("'"&amp;$D44&amp;"'!B:B"), $C44)</f>
        <v>40</v>
      </c>
      <c r="J44" s="47" cm="1">
        <f t="array" aca="1" ref="J44" ca="1">INDEX(INDIRECT("'"&amp;$D44&amp;"'!C:C"), $C44)</f>
        <v>60</v>
      </c>
      <c r="K44" s="47" cm="1">
        <f t="array" aca="1" ref="K44" ca="1">INDEX(INDIRECT("'"&amp;$D44&amp;"'!D:D"), $C44)</f>
        <v>50</v>
      </c>
      <c r="L44" s="47" cm="1">
        <f t="array" aca="1" ref="L44" ca="1">INDEX(INDIRECT("'"&amp;$D44&amp;"'!E:E"), $C44)</f>
        <v>70</v>
      </c>
      <c r="M44" s="47" cm="1">
        <f t="array" aca="1" ref="M44" ca="1">INDEX(INDIRECT("'"&amp;$D44&amp;"'!F:F"), $C44)</f>
        <v>50</v>
      </c>
      <c r="N44" s="47" cm="1">
        <f t="array" aca="1" ref="N44" ca="1">INDEX(INDIRECT("'"&amp;$D44&amp;"'!G:G"), $C44)</f>
        <v>50</v>
      </c>
      <c r="O44" s="47" cm="1">
        <f t="array" aca="1" ref="O44" ca="1">INDEX(INDIRECT("'"&amp;$D44&amp;"'!H:H"), $C44)</f>
        <v>50</v>
      </c>
      <c r="P44" s="47" cm="1">
        <f t="array" aca="1" ref="P44" ca="1">INDEX(INDIRECT("'"&amp;$D44&amp;"'!I:I"), $C44)</f>
        <v>15</v>
      </c>
      <c r="Q44" s="48" cm="1">
        <f t="array" aca="1" ref="Q44" ca="1">INDIRECT("'"&amp;$D44&amp;"'!J"&amp;$C44)</f>
        <v>20</v>
      </c>
      <c r="R44" s="47" cm="1">
        <f t="array" aca="1" ref="R44" ca="1">INDIRECT("'"&amp;$D44&amp;"'!K"&amp;$C44)</f>
        <v>25</v>
      </c>
      <c r="S44" s="47" cm="1">
        <f t="array" aca="1" ref="S44" ca="1">INDIRECT("'"&amp;$D44&amp;"'!L"&amp;$C44)</f>
        <v>11</v>
      </c>
      <c r="T44" s="104"/>
      <c r="U44" s="104"/>
      <c r="V44" s="104"/>
      <c r="W44" s="104"/>
      <c r="X44" s="104"/>
    </row>
    <row r="45" spans="1:24" x14ac:dyDescent="0.35">
      <c r="A45" s="104"/>
      <c r="B45" s="104"/>
      <c r="C45" s="104"/>
      <c r="D45" s="104"/>
      <c r="E45" s="104"/>
      <c r="F45" s="104"/>
      <c r="G45" s="104"/>
      <c r="H45" s="104"/>
      <c r="I45" s="104"/>
      <c r="J45" s="104"/>
      <c r="K45" s="104"/>
      <c r="L45" s="104"/>
      <c r="M45" s="104"/>
      <c r="N45" s="104"/>
      <c r="O45" s="104"/>
      <c r="P45" s="104"/>
      <c r="Q45" s="104"/>
      <c r="R45" s="104"/>
      <c r="S45" s="104"/>
      <c r="T45" s="104"/>
      <c r="U45" s="104"/>
      <c r="V45" s="104"/>
      <c r="W45" s="104"/>
      <c r="X45" s="104"/>
    </row>
    <row r="46" spans="1:24" x14ac:dyDescent="0.35">
      <c r="A46" s="104"/>
      <c r="B46" s="104"/>
      <c r="C46" s="104"/>
      <c r="D46" s="104"/>
      <c r="E46" s="104"/>
      <c r="F46" s="104"/>
      <c r="G46" s="104"/>
      <c r="H46" s="104"/>
      <c r="I46" s="104"/>
      <c r="J46" s="104"/>
      <c r="K46" s="104"/>
      <c r="L46" s="104"/>
      <c r="M46" s="104"/>
      <c r="N46" s="104"/>
      <c r="O46" s="104"/>
      <c r="P46" s="104"/>
      <c r="Q46" s="104"/>
      <c r="R46" s="104"/>
      <c r="S46" s="104"/>
      <c r="T46" s="104"/>
      <c r="U46" s="104"/>
      <c r="V46" s="104"/>
      <c r="W46" s="104"/>
      <c r="X46" s="104"/>
    </row>
    <row r="47" spans="1:24" ht="23.5" x14ac:dyDescent="0.55000000000000004">
      <c r="A47" s="104"/>
      <c r="C47" s="9" t="s">
        <v>156</v>
      </c>
      <c r="D47" s="14" t="s">
        <v>194</v>
      </c>
      <c r="E47" s="85" t="s">
        <v>152</v>
      </c>
      <c r="F47" s="85" t="s">
        <v>141</v>
      </c>
      <c r="G47" s="85" t="s">
        <v>142</v>
      </c>
      <c r="H47" s="85" t="s">
        <v>143</v>
      </c>
      <c r="I47" s="85" t="s">
        <v>0</v>
      </c>
      <c r="J47" s="85" t="s">
        <v>1</v>
      </c>
      <c r="K47" s="85" t="s">
        <v>2</v>
      </c>
      <c r="L47" s="85" t="s">
        <v>3</v>
      </c>
      <c r="M47" s="85" t="s">
        <v>4</v>
      </c>
      <c r="N47" s="85" t="s">
        <v>5</v>
      </c>
      <c r="O47" s="85" t="s">
        <v>6</v>
      </c>
      <c r="P47" s="85" t="s">
        <v>7</v>
      </c>
      <c r="Q47" s="85" t="s">
        <v>8</v>
      </c>
      <c r="R47" s="85" t="s">
        <v>9</v>
      </c>
      <c r="S47" s="86" t="s">
        <v>10</v>
      </c>
      <c r="T47" s="104"/>
      <c r="U47" s="104"/>
      <c r="V47" s="104"/>
      <c r="W47" s="104"/>
      <c r="X47" s="104"/>
    </row>
    <row r="48" spans="1:24" x14ac:dyDescent="0.35">
      <c r="A48" s="104"/>
      <c r="B48">
        <v>1</v>
      </c>
      <c r="C48" s="45">
        <f ca="1">MATCH($B48, INDIRECT("'"&amp;$D48&amp;"'!P:P"), 0)</f>
        <v>20</v>
      </c>
      <c r="D48" s="83" t="s">
        <v>140</v>
      </c>
      <c r="E48" s="81" cm="1">
        <f t="array" aca="1" ref="E48" ca="1">INDIRECT("'"&amp;$D48&amp;"'!O"&amp;$C48)</f>
        <v>1</v>
      </c>
      <c r="F48" s="82" t="str" cm="1">
        <f t="array" aca="1" ref="F48" ca="1">INDEX(INDIRECT("'"&amp;$D48&amp;"'!A:A"), $C48)</f>
        <v>Harrowed Trousers</v>
      </c>
      <c r="G48" s="82" cm="1">
        <f t="array" aca="1" ref="G48" ca="1">INDIRECT("'"&amp;$D48&amp;"'!N"&amp;$C48)</f>
        <v>486</v>
      </c>
      <c r="H48" s="83" cm="1">
        <f t="array" aca="1" ref="H48" ca="1">INDIRECT("'"&amp;$D48&amp;"'!M"&amp;$C48)</f>
        <v>259.5</v>
      </c>
      <c r="I48" s="82" cm="1">
        <f t="array" aca="1" ref="I48" ca="1">INDEX(INDIRECT("'"&amp;$D48&amp;"'!B:B"), $C48)</f>
        <v>70</v>
      </c>
      <c r="J48" s="82" cm="1">
        <f t="array" aca="1" ref="J48" ca="1">INDEX(INDIRECT("'"&amp;$D48&amp;"'!C:C"), $C48)</f>
        <v>50</v>
      </c>
      <c r="K48" s="82" cm="1">
        <f t="array" aca="1" ref="K48" ca="1">INDEX(INDIRECT("'"&amp;$D48&amp;"'!D:D"), $C48)</f>
        <v>50</v>
      </c>
      <c r="L48" s="82" cm="1">
        <f t="array" aca="1" ref="L48" ca="1">INDEX(INDIRECT("'"&amp;$D48&amp;"'!E:E"), $C48)</f>
        <v>60</v>
      </c>
      <c r="M48" s="82" cm="1">
        <f t="array" aca="1" ref="M48" ca="1">INDEX(INDIRECT("'"&amp;$D48&amp;"'!F:F"), $C48)</f>
        <v>60</v>
      </c>
      <c r="N48" s="82" cm="1">
        <f t="array" aca="1" ref="N48" ca="1">INDEX(INDIRECT("'"&amp;$D48&amp;"'!G:G"), $C48)</f>
        <v>60</v>
      </c>
      <c r="O48" s="82" cm="1">
        <f t="array" aca="1" ref="O48" ca="1">INDEX(INDIRECT("'"&amp;$D48&amp;"'!H:H"), $C48)</f>
        <v>60</v>
      </c>
      <c r="P48" s="82" cm="1">
        <f t="array" aca="1" ref="P48" ca="1">INDEX(INDIRECT("'"&amp;$D48&amp;"'!I:I"), $C48)</f>
        <v>38</v>
      </c>
      <c r="Q48" s="84" cm="1">
        <f t="array" aca="1" ref="Q48" ca="1">INDIRECT("'"&amp;$D48&amp;"'!J"&amp;$C48)</f>
        <v>33</v>
      </c>
      <c r="R48" s="82" cm="1">
        <f t="array" aca="1" ref="R48" ca="1">INDIRECT("'"&amp;$D48&amp;"'!K"&amp;$C48)</f>
        <v>5</v>
      </c>
      <c r="S48" s="82" cm="1">
        <f t="array" aca="1" ref="S48" ca="1">INDIRECT("'"&amp;$D48&amp;"'!L"&amp;$C48)</f>
        <v>27</v>
      </c>
      <c r="T48" s="104"/>
      <c r="U48" s="104"/>
      <c r="V48" s="104"/>
      <c r="W48" s="104"/>
      <c r="X48" s="104"/>
    </row>
    <row r="49" spans="1:24" x14ac:dyDescent="0.35">
      <c r="A49" s="104"/>
      <c r="B49">
        <v>2</v>
      </c>
      <c r="C49" s="45">
        <f t="shared" ref="C49:C52" ca="1" si="19">MATCH($B49, INDIRECT("'"&amp;$D49&amp;"'!P:P"), 0)</f>
        <v>28</v>
      </c>
      <c r="D49" s="46" t="s">
        <v>140</v>
      </c>
      <c r="E49" s="50" cm="1">
        <f t="array" aca="1" ref="E49" ca="1">INDIRECT("'"&amp;$D49&amp;"'!O"&amp;$C49)</f>
        <v>2</v>
      </c>
      <c r="F49" s="47" t="str" cm="1">
        <f t="array" aca="1" ref="F49" ca="1">INDEX(INDIRECT("'"&amp;$D49&amp;"'!A:A"), $C49)</f>
        <v>Tomb Prospector Trousers</v>
      </c>
      <c r="G49" s="47" cm="1">
        <f t="array" aca="1" ref="G49" ca="1">INDIRECT("'"&amp;$D49&amp;"'!N"&amp;$C49)</f>
        <v>478</v>
      </c>
      <c r="H49" s="46" cm="1">
        <f t="array" aca="1" ref="H49" ca="1">INDIRECT("'"&amp;$D49&amp;"'!M"&amp;$C49)</f>
        <v>257.60000000000002</v>
      </c>
      <c r="I49" s="47" cm="1">
        <f t="array" aca="1" ref="I49" ca="1">INDEX(INDIRECT("'"&amp;$D49&amp;"'!B:B"), $C49)</f>
        <v>50</v>
      </c>
      <c r="J49" s="47" cm="1">
        <f t="array" aca="1" ref="J49" ca="1">INDEX(INDIRECT("'"&amp;$D49&amp;"'!C:C"), $C49)</f>
        <v>60</v>
      </c>
      <c r="K49" s="47" cm="1">
        <f t="array" aca="1" ref="K49" ca="1">INDEX(INDIRECT("'"&amp;$D49&amp;"'!D:D"), $C49)</f>
        <v>60</v>
      </c>
      <c r="L49" s="47" cm="1">
        <f t="array" aca="1" ref="L49" ca="1">INDEX(INDIRECT("'"&amp;$D49&amp;"'!E:E"), $C49)</f>
        <v>60</v>
      </c>
      <c r="M49" s="47" cm="1">
        <f t="array" aca="1" ref="M49" ca="1">INDEX(INDIRECT("'"&amp;$D49&amp;"'!F:F"), $C49)</f>
        <v>70</v>
      </c>
      <c r="N49" s="47" cm="1">
        <f t="array" aca="1" ref="N49" ca="1">INDEX(INDIRECT("'"&amp;$D49&amp;"'!G:G"), $C49)</f>
        <v>60</v>
      </c>
      <c r="O49" s="47" cm="1">
        <f t="array" aca="1" ref="O49" ca="1">INDEX(INDIRECT("'"&amp;$D49&amp;"'!H:H"), $C49)</f>
        <v>50</v>
      </c>
      <c r="P49" s="47" cm="1">
        <f t="array" aca="1" ref="P49" ca="1">INDEX(INDIRECT("'"&amp;$D49&amp;"'!I:I"), $C49)</f>
        <v>31</v>
      </c>
      <c r="Q49" s="48" cm="1">
        <f t="array" aca="1" ref="Q49" ca="1">INDIRECT("'"&amp;$D49&amp;"'!J"&amp;$C49)</f>
        <v>29</v>
      </c>
      <c r="R49" s="47" cm="1">
        <f t="array" aca="1" ref="R49" ca="1">INDIRECT("'"&amp;$D49&amp;"'!K"&amp;$C49)</f>
        <v>8</v>
      </c>
      <c r="S49" s="47" cm="1">
        <f t="array" aca="1" ref="S49" ca="1">INDIRECT("'"&amp;$D49&amp;"'!L"&amp;$C49)</f>
        <v>26</v>
      </c>
      <c r="T49" s="104"/>
      <c r="U49" s="104"/>
      <c r="V49" s="104"/>
      <c r="W49" s="104"/>
      <c r="X49" s="104"/>
    </row>
    <row r="50" spans="1:24" x14ac:dyDescent="0.35">
      <c r="A50" s="104"/>
      <c r="B50">
        <v>3</v>
      </c>
      <c r="C50" s="45">
        <f t="shared" ca="1" si="19"/>
        <v>15</v>
      </c>
      <c r="D50" s="46" t="s">
        <v>140</v>
      </c>
      <c r="E50" s="50" cm="1">
        <f t="array" aca="1" ref="E50" ca="1">INDIRECT("'"&amp;$D50&amp;"'!O"&amp;$C50)</f>
        <v>3</v>
      </c>
      <c r="F50" s="47" t="str" cm="1">
        <f t="array" aca="1" ref="F50" ca="1">INDEX(INDIRECT("'"&amp;$D50&amp;"'!A:A"), $C50)</f>
        <v>Executioner Trousers</v>
      </c>
      <c r="G50" s="47" cm="1">
        <f t="array" aca="1" ref="G50" ca="1">INDIRECT("'"&amp;$D50&amp;"'!N"&amp;$C50)</f>
        <v>466</v>
      </c>
      <c r="H50" s="46" cm="1">
        <f t="array" aca="1" ref="H50" ca="1">INDIRECT("'"&amp;$D50&amp;"'!M"&amp;$C50)</f>
        <v>252.5</v>
      </c>
      <c r="I50" s="47" cm="1">
        <f t="array" aca="1" ref="I50" ca="1">INDEX(INDIRECT("'"&amp;$D50&amp;"'!B:B"), $C50)</f>
        <v>50</v>
      </c>
      <c r="J50" s="47" cm="1">
        <f t="array" aca="1" ref="J50" ca="1">INDEX(INDIRECT("'"&amp;$D50&amp;"'!C:C"), $C50)</f>
        <v>70</v>
      </c>
      <c r="K50" s="47" cm="1">
        <f t="array" aca="1" ref="K50" ca="1">INDEX(INDIRECT("'"&amp;$D50&amp;"'!D:D"), $C50)</f>
        <v>50</v>
      </c>
      <c r="L50" s="47" cm="1">
        <f t="array" aca="1" ref="L50" ca="1">INDEX(INDIRECT("'"&amp;$D50&amp;"'!E:E"), $C50)</f>
        <v>60</v>
      </c>
      <c r="M50" s="47" cm="1">
        <f t="array" aca="1" ref="M50" ca="1">INDEX(INDIRECT("'"&amp;$D50&amp;"'!F:F"), $C50)</f>
        <v>60</v>
      </c>
      <c r="N50" s="47" cm="1">
        <f t="array" aca="1" ref="N50" ca="1">INDEX(INDIRECT("'"&amp;$D50&amp;"'!G:G"), $C50)</f>
        <v>60</v>
      </c>
      <c r="O50" s="47" cm="1">
        <f t="array" aca="1" ref="O50" ca="1">INDEX(INDIRECT("'"&amp;$D50&amp;"'!H:H"), $C50)</f>
        <v>50</v>
      </c>
      <c r="P50" s="47" cm="1">
        <f t="array" aca="1" ref="P50" ca="1">INDEX(INDIRECT("'"&amp;$D50&amp;"'!I:I"), $C50)</f>
        <v>30</v>
      </c>
      <c r="Q50" s="48" cm="1">
        <f t="array" aca="1" ref="Q50" ca="1">INDIRECT("'"&amp;$D50&amp;"'!J"&amp;$C50)</f>
        <v>26</v>
      </c>
      <c r="R50" s="47" cm="1">
        <f t="array" aca="1" ref="R50" ca="1">INDIRECT("'"&amp;$D50&amp;"'!K"&amp;$C50)</f>
        <v>10</v>
      </c>
      <c r="S50" s="47" cm="1">
        <f t="array" aca="1" ref="S50" ca="1">INDIRECT("'"&amp;$D50&amp;"'!L"&amp;$C50)</f>
        <v>26</v>
      </c>
      <c r="T50" s="104"/>
      <c r="U50" s="104"/>
      <c r="V50" s="104"/>
      <c r="W50" s="104"/>
      <c r="X50" s="104"/>
    </row>
    <row r="51" spans="1:24" x14ac:dyDescent="0.35">
      <c r="A51" s="104"/>
      <c r="B51">
        <v>4</v>
      </c>
      <c r="C51" s="45">
        <f t="shared" ca="1" si="19"/>
        <v>9</v>
      </c>
      <c r="D51" s="46" t="s">
        <v>140</v>
      </c>
      <c r="E51" s="50" cm="1">
        <f t="array" aca="1" ref="E51" ca="1">INDIRECT("'"&amp;$D51&amp;"'!O"&amp;$C51)</f>
        <v>4</v>
      </c>
      <c r="F51" s="47" t="str" cm="1">
        <f t="array" aca="1" ref="F51" ca="1">INDEX(INDIRECT("'"&amp;$D51&amp;"'!A:A"), $C51)</f>
        <v>Charred Hunter Boots</v>
      </c>
      <c r="G51" s="47" cm="1">
        <f t="array" aca="1" ref="G51" ca="1">INDIRECT("'"&amp;$D51&amp;"'!N"&amp;$C51)</f>
        <v>455</v>
      </c>
      <c r="H51" s="46" cm="1">
        <f t="array" aca="1" ref="H51" ca="1">INDIRECT("'"&amp;$D51&amp;"'!M"&amp;$C51)</f>
        <v>251.5</v>
      </c>
      <c r="I51" s="47" cm="1">
        <f t="array" aca="1" ref="I51" ca="1">INDEX(INDIRECT("'"&amp;$D51&amp;"'!B:B"), $C51)</f>
        <v>60</v>
      </c>
      <c r="J51" s="47" cm="1">
        <f t="array" aca="1" ref="J51" ca="1">INDEX(INDIRECT("'"&amp;$D51&amp;"'!C:C"), $C51)</f>
        <v>60</v>
      </c>
      <c r="K51" s="47" cm="1">
        <f t="array" aca="1" ref="K51" ca="1">INDEX(INDIRECT("'"&amp;$D51&amp;"'!D:D"), $C51)</f>
        <v>50</v>
      </c>
      <c r="L51" s="47" cm="1">
        <f t="array" aca="1" ref="L51" ca="1">INDEX(INDIRECT("'"&amp;$D51&amp;"'!E:E"), $C51)</f>
        <v>60</v>
      </c>
      <c r="M51" s="47" cm="1">
        <f t="array" aca="1" ref="M51" ca="1">INDEX(INDIRECT("'"&amp;$D51&amp;"'!F:F"), $C51)</f>
        <v>40</v>
      </c>
      <c r="N51" s="47" cm="1">
        <f t="array" aca="1" ref="N51" ca="1">INDEX(INDIRECT("'"&amp;$D51&amp;"'!G:G"), $C51)</f>
        <v>80</v>
      </c>
      <c r="O51" s="47" cm="1">
        <f t="array" aca="1" ref="O51" ca="1">INDEX(INDIRECT("'"&amp;$D51&amp;"'!H:H"), $C51)</f>
        <v>40</v>
      </c>
      <c r="P51" s="47" cm="1">
        <f t="array" aca="1" ref="P51" ca="1">INDEX(INDIRECT("'"&amp;$D51&amp;"'!I:I"), $C51)</f>
        <v>17</v>
      </c>
      <c r="Q51" s="48" cm="1">
        <f t="array" aca="1" ref="Q51" ca="1">INDIRECT("'"&amp;$D51&amp;"'!J"&amp;$C51)</f>
        <v>21</v>
      </c>
      <c r="R51" s="47" cm="1">
        <f t="array" aca="1" ref="R51" ca="1">INDIRECT("'"&amp;$D51&amp;"'!K"&amp;$C51)</f>
        <v>27</v>
      </c>
      <c r="S51" s="47" cm="1">
        <f t="array" aca="1" ref="S51" ca="1">INDIRECT("'"&amp;$D51&amp;"'!L"&amp;$C51)</f>
        <v>33</v>
      </c>
      <c r="T51" s="104"/>
      <c r="U51" s="104"/>
      <c r="V51" s="104"/>
      <c r="W51" s="104"/>
      <c r="X51" s="104"/>
    </row>
    <row r="52" spans="1:24" x14ac:dyDescent="0.35">
      <c r="A52" s="104"/>
      <c r="B52">
        <v>5</v>
      </c>
      <c r="C52" s="45">
        <f t="shared" ca="1" si="19"/>
        <v>10</v>
      </c>
      <c r="D52" s="46" t="s">
        <v>140</v>
      </c>
      <c r="E52" s="50" cm="1">
        <f t="array" aca="1" ref="E52" ca="1">INDIRECT("'"&amp;$D52&amp;"'!O"&amp;$C52)</f>
        <v>4</v>
      </c>
      <c r="F52" s="47" t="str" cm="1">
        <f t="array" aca="1" ref="F52" ca="1">INDEX(INDIRECT("'"&amp;$D52&amp;"'!A:A"), $C52)</f>
        <v>Choir Trousers</v>
      </c>
      <c r="G52" s="47" cm="1">
        <f t="array" aca="1" ref="G52" ca="1">INDIRECT("'"&amp;$D52&amp;"'!N"&amp;$C52)</f>
        <v>467</v>
      </c>
      <c r="H52" s="46" cm="1">
        <f t="array" aca="1" ref="H52" ca="1">INDIRECT("'"&amp;$D52&amp;"'!M"&amp;$C52)</f>
        <v>251.5</v>
      </c>
      <c r="I52" s="47" cm="1">
        <f t="array" aca="1" ref="I52" ca="1">INDEX(INDIRECT("'"&amp;$D52&amp;"'!B:B"), $C52)</f>
        <v>50</v>
      </c>
      <c r="J52" s="47" cm="1">
        <f t="array" aca="1" ref="J52" ca="1">INDEX(INDIRECT("'"&amp;$D52&amp;"'!C:C"), $C52)</f>
        <v>50</v>
      </c>
      <c r="K52" s="47" cm="1">
        <f t="array" aca="1" ref="K52" ca="1">INDEX(INDIRECT("'"&amp;$D52&amp;"'!D:D"), $C52)</f>
        <v>50</v>
      </c>
      <c r="L52" s="47" cm="1">
        <f t="array" aca="1" ref="L52" ca="1">INDEX(INDIRECT("'"&amp;$D52&amp;"'!E:E"), $C52)</f>
        <v>60</v>
      </c>
      <c r="M52" s="47" cm="1">
        <f t="array" aca="1" ref="M52" ca="1">INDEX(INDIRECT("'"&amp;$D52&amp;"'!F:F"), $C52)</f>
        <v>80</v>
      </c>
      <c r="N52" s="47" cm="1">
        <f t="array" aca="1" ref="N52" ca="1">INDEX(INDIRECT("'"&amp;$D52&amp;"'!G:G"), $C52)</f>
        <v>60</v>
      </c>
      <c r="O52" s="47" cm="1">
        <f t="array" aca="1" ref="O52" ca="1">INDEX(INDIRECT("'"&amp;$D52&amp;"'!H:H"), $C52)</f>
        <v>60</v>
      </c>
      <c r="P52" s="47" cm="1">
        <f t="array" aca="1" ref="P52" ca="1">INDEX(INDIRECT("'"&amp;$D52&amp;"'!I:I"), $C52)</f>
        <v>26</v>
      </c>
      <c r="Q52" s="48" cm="1">
        <f t="array" aca="1" ref="Q52" ca="1">INDIRECT("'"&amp;$D52&amp;"'!J"&amp;$C52)</f>
        <v>22</v>
      </c>
      <c r="R52" s="47" cm="1">
        <f t="array" aca="1" ref="R52" ca="1">INDIRECT("'"&amp;$D52&amp;"'!K"&amp;$C52)</f>
        <v>9</v>
      </c>
      <c r="S52" s="47" cm="1">
        <f t="array" aca="1" ref="S52" ca="1">INDIRECT("'"&amp;$D52&amp;"'!L"&amp;$C52)</f>
        <v>22</v>
      </c>
      <c r="T52" s="104"/>
      <c r="U52" s="104"/>
      <c r="V52" s="104"/>
      <c r="W52" s="104"/>
      <c r="X52" s="104"/>
    </row>
  </sheetData>
  <mergeCells count="15">
    <mergeCell ref="A1:S3"/>
    <mergeCell ref="A4:B4"/>
    <mergeCell ref="T1:X52"/>
    <mergeCell ref="A47:A52"/>
    <mergeCell ref="A14:B14"/>
    <mergeCell ref="A20:S22"/>
    <mergeCell ref="A29:S30"/>
    <mergeCell ref="A37:S38"/>
    <mergeCell ref="A45:S46"/>
    <mergeCell ref="A23:A28"/>
    <mergeCell ref="A31:A36"/>
    <mergeCell ref="A39:A44"/>
    <mergeCell ref="A5:B9"/>
    <mergeCell ref="A15:B19"/>
    <mergeCell ref="A10:S13"/>
  </mergeCells>
  <conditionalFormatting sqref="I5:S5">
    <cfRule type="colorScale" priority="5">
      <colorScale>
        <cfvo type="min"/>
        <cfvo type="max"/>
        <color theme="7" tint="0.79998168889431442"/>
        <color theme="7" tint="0.39997558519241921"/>
      </colorScale>
    </cfRule>
  </conditionalFormatting>
  <conditionalFormatting sqref="I7:S7">
    <cfRule type="colorScale" priority="4">
      <colorScale>
        <cfvo type="min"/>
        <cfvo type="max"/>
        <color theme="7" tint="0.79998168889431442"/>
        <color theme="7" tint="0.39997558519241921"/>
      </colorScale>
    </cfRule>
  </conditionalFormatting>
  <conditionalFormatting sqref="I6:S6">
    <cfRule type="colorScale" priority="3">
      <colorScale>
        <cfvo type="min"/>
        <cfvo type="max"/>
        <color theme="5" tint="0.79998168889431442"/>
        <color theme="5" tint="0.39997558519241921"/>
      </colorScale>
    </cfRule>
  </conditionalFormatting>
  <conditionalFormatting sqref="I8:S8">
    <cfRule type="colorScale" priority="2">
      <colorScale>
        <cfvo type="min"/>
        <cfvo type="max"/>
        <color theme="5" tint="0.79998168889431442"/>
        <color theme="5" tint="0.39997558519241921"/>
      </colorScale>
    </cfRule>
  </conditionalFormatting>
  <conditionalFormatting sqref="I9:S9">
    <cfRule type="colorScale" priority="1">
      <colorScale>
        <cfvo type="min"/>
        <cfvo type="max"/>
        <color theme="9" tint="0.79998168889431442"/>
        <color theme="9" tint="0.39997558519241921"/>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2B5FB-61D8-4BE5-9F8D-1D3C92F19FD8}">
  <sheetPr codeName="Sheet3"/>
  <dimension ref="A1:T35"/>
  <sheetViews>
    <sheetView workbookViewId="0">
      <selection activeCell="V19" sqref="V19"/>
    </sheetView>
  </sheetViews>
  <sheetFormatPr defaultRowHeight="14.5" x14ac:dyDescent="0.35"/>
  <cols>
    <col min="1" max="1" width="29" customWidth="1"/>
    <col min="2" max="2" width="9.36328125" customWidth="1"/>
    <col min="9" max="9" width="13.7265625" customWidth="1"/>
    <col min="10" max="10" width="14.54296875" customWidth="1"/>
    <col min="12" max="12" width="11.26953125" customWidth="1"/>
    <col min="13" max="14" width="16.81640625" customWidth="1"/>
    <col min="15" max="15" width="11.453125" customWidth="1"/>
    <col min="17" max="17" width="14.81640625" customWidth="1"/>
    <col min="18" max="18" width="14.1796875" customWidth="1"/>
    <col min="19" max="19" width="11.36328125" bestFit="1" customWidth="1"/>
  </cols>
  <sheetData>
    <row r="1" spans="1:20" ht="17" customHeight="1" x14ac:dyDescent="0.35">
      <c r="A1" s="2" t="s">
        <v>141</v>
      </c>
      <c r="B1" s="2" t="s">
        <v>0</v>
      </c>
      <c r="C1" s="2" t="s">
        <v>1</v>
      </c>
      <c r="D1" s="2" t="s">
        <v>2</v>
      </c>
      <c r="E1" s="2" t="s">
        <v>3</v>
      </c>
      <c r="F1" s="2" t="s">
        <v>4</v>
      </c>
      <c r="G1" s="2" t="s">
        <v>5</v>
      </c>
      <c r="H1" s="2" t="s">
        <v>6</v>
      </c>
      <c r="I1" s="2" t="s">
        <v>7</v>
      </c>
      <c r="J1" s="2" t="s">
        <v>8</v>
      </c>
      <c r="K1" s="2" t="s">
        <v>9</v>
      </c>
      <c r="L1" s="2" t="s">
        <v>10</v>
      </c>
      <c r="M1" s="2" t="s">
        <v>47</v>
      </c>
      <c r="N1" s="2" t="s">
        <v>145</v>
      </c>
      <c r="O1" s="2" t="s">
        <v>144</v>
      </c>
      <c r="P1" s="2" t="s">
        <v>153</v>
      </c>
      <c r="Q1" s="2" t="s">
        <v>180</v>
      </c>
      <c r="R1" s="2" t="s">
        <v>181</v>
      </c>
      <c r="S1" s="2" t="s">
        <v>182</v>
      </c>
      <c r="T1" s="2" t="s">
        <v>183</v>
      </c>
    </row>
    <row r="2" spans="1:20" ht="17" customHeight="1" x14ac:dyDescent="0.35">
      <c r="A2" s="7" t="s">
        <v>13</v>
      </c>
      <c r="B2" s="7">
        <v>50</v>
      </c>
      <c r="C2" s="7">
        <v>40</v>
      </c>
      <c r="D2" s="7">
        <v>40</v>
      </c>
      <c r="E2" s="7">
        <v>60</v>
      </c>
      <c r="F2" s="7">
        <v>30</v>
      </c>
      <c r="G2" s="7">
        <v>40</v>
      </c>
      <c r="H2" s="7">
        <v>30</v>
      </c>
      <c r="I2" s="68">
        <v>8</v>
      </c>
      <c r="J2" s="68">
        <v>10</v>
      </c>
      <c r="K2" s="68">
        <v>40</v>
      </c>
      <c r="L2" s="68">
        <v>2</v>
      </c>
      <c r="M2" s="7">
        <f>SUMPRODUCT(Table2[[#This Row],[Physical]:[Beasthood]],Utility!$H$9:$R$9)</f>
        <v>185.4</v>
      </c>
      <c r="N2" s="7">
        <f>SUM(Table2[[#This Row],[Physical]:[Frenzy]])</f>
        <v>348</v>
      </c>
      <c r="O2" s="68">
        <f>RANK(Table2[[#This Row],[TOTAL]],Table2[TOTAL])</f>
        <v>13</v>
      </c>
      <c r="P2" s="68">
        <f>RANK(O2,$O$2:$O$100,1)+COUNTIF($O$1:O1,O2)</f>
        <v>13</v>
      </c>
      <c r="Q2" s="69" cm="1">
        <f t="array" ref="Q2">INDEX($B2:$L2, 1, VLOOKUP(Config!$B$2, Config!$E$2:$F$12, 2, FALSE)-1)</f>
        <v>40</v>
      </c>
      <c r="R2" s="69" cm="1">
        <f t="array" ref="R2">INDEX($B2:$L2, 1, VLOOKUP(Config!$B$3, Config!$E$2:$F$12, 2, FALSE)-1)</f>
        <v>50</v>
      </c>
      <c r="S2" s="68">
        <f t="shared" ref="S2:S35" si="0">Q2*1000000 + R2*1000 + N2</f>
        <v>40050348</v>
      </c>
      <c r="T2" s="68">
        <f t="shared" ref="T2:T35" si="1">RANK(S2, $S$2:$S$100, 0)</f>
        <v>17</v>
      </c>
    </row>
    <row r="3" spans="1:20" ht="17" customHeight="1" x14ac:dyDescent="0.35">
      <c r="A3" s="70" t="s">
        <v>14</v>
      </c>
      <c r="B3" s="70">
        <v>40</v>
      </c>
      <c r="C3" s="70">
        <v>40</v>
      </c>
      <c r="D3" s="70">
        <v>40</v>
      </c>
      <c r="E3" s="70">
        <v>50</v>
      </c>
      <c r="F3" s="70">
        <v>60</v>
      </c>
      <c r="G3" s="70">
        <v>50</v>
      </c>
      <c r="H3" s="70">
        <v>50</v>
      </c>
      <c r="I3" s="71">
        <v>20</v>
      </c>
      <c r="J3" s="71">
        <v>19</v>
      </c>
      <c r="K3" s="71">
        <v>2</v>
      </c>
      <c r="L3" s="71">
        <v>13</v>
      </c>
      <c r="M3" s="70">
        <f>SUMPRODUCT(Table2[[#This Row],[Physical]:[Beasthood]],Utility!$H$9:$R$9)</f>
        <v>201.4</v>
      </c>
      <c r="N3" s="70">
        <f>SUM(Table2[[#This Row],[Physical]:[Frenzy]])</f>
        <v>371</v>
      </c>
      <c r="O3" s="71">
        <f>RANK(Table2[[#This Row],[TOTAL]],Table2[TOTAL])</f>
        <v>5</v>
      </c>
      <c r="P3" s="71">
        <f>RANK(O3,$O$2:$O$100,1)+COUNTIF($O$1:O2,O3)</f>
        <v>5</v>
      </c>
      <c r="Q3" s="71" cm="1">
        <f t="array" ref="Q3">INDEX($B3:$L3, 1, VLOOKUP(Config!$B$2, Config!$E$2:$F$12, 2, FALSE)-1)</f>
        <v>50</v>
      </c>
      <c r="R3" s="71" cm="1">
        <f t="array" ref="R3">INDEX($B3:$L3, 1, VLOOKUP(Config!$B$3, Config!$E$2:$F$12, 2, FALSE)-1)</f>
        <v>40</v>
      </c>
      <c r="S3" s="71">
        <f t="shared" si="0"/>
        <v>50040371</v>
      </c>
      <c r="T3" s="71">
        <f t="shared" si="1"/>
        <v>11</v>
      </c>
    </row>
    <row r="4" spans="1:20" ht="17" customHeight="1" x14ac:dyDescent="0.35">
      <c r="A4" s="70" t="s">
        <v>15</v>
      </c>
      <c r="B4" s="70">
        <v>20</v>
      </c>
      <c r="C4" s="70">
        <v>30</v>
      </c>
      <c r="D4" s="70">
        <v>20</v>
      </c>
      <c r="E4" s="70">
        <v>30</v>
      </c>
      <c r="F4" s="70">
        <v>20</v>
      </c>
      <c r="G4" s="70">
        <v>30</v>
      </c>
      <c r="H4" s="70">
        <v>30</v>
      </c>
      <c r="I4" s="71">
        <v>8</v>
      </c>
      <c r="J4" s="71">
        <v>6</v>
      </c>
      <c r="K4" s="71">
        <v>8</v>
      </c>
      <c r="L4" s="71">
        <v>4</v>
      </c>
      <c r="M4" s="70">
        <f>SUMPRODUCT(Table2[[#This Row],[Physical]:[Beasthood]],Utility!$H$9:$R$9)</f>
        <v>109.2</v>
      </c>
      <c r="N4" s="70">
        <f>SUM(Table2[[#This Row],[Physical]:[Frenzy]])</f>
        <v>202</v>
      </c>
      <c r="O4" s="71">
        <f>RANK(Table2[[#This Row],[TOTAL]],Table2[TOTAL])</f>
        <v>33</v>
      </c>
      <c r="P4" s="71">
        <f>RANK(O4,$O$2:$O$100,1)+COUNTIF($O$1:O3,O4)</f>
        <v>33</v>
      </c>
      <c r="Q4" s="71" cm="1">
        <f t="array" ref="Q4">INDEX($B4:$L4, 1, VLOOKUP(Config!$B$2, Config!$E$2:$F$12, 2, FALSE)-1)</f>
        <v>30</v>
      </c>
      <c r="R4" s="71" cm="1">
        <f t="array" ref="R4">INDEX($B4:$L4, 1, VLOOKUP(Config!$B$3, Config!$E$2:$F$12, 2, FALSE)-1)</f>
        <v>20</v>
      </c>
      <c r="S4" s="71">
        <f t="shared" si="0"/>
        <v>30020202</v>
      </c>
      <c r="T4" s="71">
        <f t="shared" si="1"/>
        <v>28</v>
      </c>
    </row>
    <row r="5" spans="1:20" ht="17" customHeight="1" x14ac:dyDescent="0.35">
      <c r="A5" s="70" t="s">
        <v>16</v>
      </c>
      <c r="B5" s="70">
        <v>60</v>
      </c>
      <c r="C5" s="70">
        <v>40</v>
      </c>
      <c r="D5" s="70">
        <v>10</v>
      </c>
      <c r="E5" s="70">
        <v>20</v>
      </c>
      <c r="F5" s="70">
        <v>20</v>
      </c>
      <c r="G5" s="70">
        <v>30</v>
      </c>
      <c r="H5" s="70">
        <v>20</v>
      </c>
      <c r="I5" s="71">
        <v>13</v>
      </c>
      <c r="J5" s="71">
        <v>12</v>
      </c>
      <c r="K5" s="71">
        <v>12</v>
      </c>
      <c r="L5" s="71">
        <v>8</v>
      </c>
      <c r="M5" s="70">
        <f>SUMPRODUCT(Table2[[#This Row],[Physical]:[Beasthood]],Utility!$H$9:$R$9)</f>
        <v>143.1</v>
      </c>
      <c r="N5" s="70">
        <f>SUM(Table2[[#This Row],[Physical]:[Frenzy]])</f>
        <v>237</v>
      </c>
      <c r="O5" s="71">
        <f>RANK(Table2[[#This Row],[TOTAL]],Table2[TOTAL])</f>
        <v>28</v>
      </c>
      <c r="P5" s="71">
        <f>RANK(O5,$O$2:$O$100,1)+COUNTIF($O$1:O4,O5)</f>
        <v>28</v>
      </c>
      <c r="Q5" s="71" cm="1">
        <f t="array" ref="Q5">INDEX($B5:$L5, 1, VLOOKUP(Config!$B$2, Config!$E$2:$F$12, 2, FALSE)-1)</f>
        <v>30</v>
      </c>
      <c r="R5" s="71" cm="1">
        <f t="array" ref="R5">INDEX($B5:$L5, 1, VLOOKUP(Config!$B$3, Config!$E$2:$F$12, 2, FALSE)-1)</f>
        <v>60</v>
      </c>
      <c r="S5" s="71">
        <f t="shared" si="0"/>
        <v>30060237</v>
      </c>
      <c r="T5" s="71">
        <f t="shared" si="1"/>
        <v>21</v>
      </c>
    </row>
    <row r="6" spans="1:20" ht="17" customHeight="1" x14ac:dyDescent="0.35">
      <c r="A6" s="70" t="s">
        <v>17</v>
      </c>
      <c r="B6" s="70">
        <v>30</v>
      </c>
      <c r="C6" s="70">
        <v>40</v>
      </c>
      <c r="D6" s="70">
        <v>40</v>
      </c>
      <c r="E6" s="70">
        <v>40</v>
      </c>
      <c r="F6" s="70">
        <v>70</v>
      </c>
      <c r="G6" s="70">
        <v>50</v>
      </c>
      <c r="H6" s="70">
        <v>50</v>
      </c>
      <c r="I6" s="71">
        <v>15</v>
      </c>
      <c r="J6" s="71">
        <v>13</v>
      </c>
      <c r="K6" s="71">
        <v>4</v>
      </c>
      <c r="L6" s="71">
        <v>13</v>
      </c>
      <c r="M6" s="70">
        <f>SUMPRODUCT(Table2[[#This Row],[Physical]:[Beasthood]],Utility!$H$9:$R$9)</f>
        <v>193.4</v>
      </c>
      <c r="N6" s="70">
        <f>SUM(Table2[[#This Row],[Physical]:[Frenzy]])</f>
        <v>352</v>
      </c>
      <c r="O6" s="71">
        <f>RANK(Table2[[#This Row],[TOTAL]],Table2[TOTAL])</f>
        <v>7</v>
      </c>
      <c r="P6" s="71">
        <f>RANK(O6,$O$2:$O$100,1)+COUNTIF($O$1:O5,O6)</f>
        <v>7</v>
      </c>
      <c r="Q6" s="71" cm="1">
        <f t="array" ref="Q6">INDEX($B6:$L6, 1, VLOOKUP(Config!$B$2, Config!$E$2:$F$12, 2, FALSE)-1)</f>
        <v>50</v>
      </c>
      <c r="R6" s="71" cm="1">
        <f t="array" ref="R6">INDEX($B6:$L6, 1, VLOOKUP(Config!$B$3, Config!$E$2:$F$12, 2, FALSE)-1)</f>
        <v>30</v>
      </c>
      <c r="S6" s="71">
        <f t="shared" si="0"/>
        <v>50030352</v>
      </c>
      <c r="T6" s="71">
        <f t="shared" si="1"/>
        <v>14</v>
      </c>
    </row>
    <row r="7" spans="1:20" ht="17" customHeight="1" x14ac:dyDescent="0.35">
      <c r="A7" s="70" t="s">
        <v>18</v>
      </c>
      <c r="B7" s="70">
        <v>60</v>
      </c>
      <c r="C7" s="70">
        <v>30</v>
      </c>
      <c r="D7" s="70">
        <v>40</v>
      </c>
      <c r="E7" s="70">
        <v>20</v>
      </c>
      <c r="F7" s="70">
        <v>20</v>
      </c>
      <c r="G7" s="70">
        <v>60</v>
      </c>
      <c r="H7" s="70">
        <v>60</v>
      </c>
      <c r="I7" s="71">
        <v>11</v>
      </c>
      <c r="J7" s="71">
        <v>9</v>
      </c>
      <c r="K7" s="71">
        <v>14</v>
      </c>
      <c r="L7" s="71">
        <v>8</v>
      </c>
      <c r="M7" s="70">
        <f>SUMPRODUCT(Table2[[#This Row],[Physical]:[Beasthood]],Utility!$H$9:$R$9)</f>
        <v>186.4</v>
      </c>
      <c r="N7" s="70">
        <f>SUM(Table2[[#This Row],[Physical]:[Frenzy]])</f>
        <v>324</v>
      </c>
      <c r="O7" s="71">
        <f>RANK(Table2[[#This Row],[TOTAL]],Table2[TOTAL])</f>
        <v>12</v>
      </c>
      <c r="P7" s="71">
        <f>RANK(O7,$O$2:$O$100,1)+COUNTIF($O$1:O6,O7)</f>
        <v>12</v>
      </c>
      <c r="Q7" s="71" cm="1">
        <f t="array" ref="Q7">INDEX($B7:$L7, 1, VLOOKUP(Config!$B$2, Config!$E$2:$F$12, 2, FALSE)-1)</f>
        <v>60</v>
      </c>
      <c r="R7" s="71" cm="1">
        <f t="array" ref="R7">INDEX($B7:$L7, 1, VLOOKUP(Config!$B$3, Config!$E$2:$F$12, 2, FALSE)-1)</f>
        <v>60</v>
      </c>
      <c r="S7" s="71">
        <f t="shared" si="0"/>
        <v>60060324</v>
      </c>
      <c r="T7" s="71">
        <f t="shared" si="1"/>
        <v>1</v>
      </c>
    </row>
    <row r="8" spans="1:20" ht="17" customHeight="1" x14ac:dyDescent="0.35">
      <c r="A8" s="70" t="s">
        <v>19</v>
      </c>
      <c r="B8" s="70">
        <v>50</v>
      </c>
      <c r="C8" s="70">
        <v>60</v>
      </c>
      <c r="D8" s="70">
        <v>50</v>
      </c>
      <c r="E8" s="70">
        <v>50</v>
      </c>
      <c r="F8" s="70">
        <v>20</v>
      </c>
      <c r="G8" s="70">
        <v>20</v>
      </c>
      <c r="H8" s="70">
        <v>30</v>
      </c>
      <c r="I8" s="71">
        <v>18</v>
      </c>
      <c r="J8" s="71">
        <v>10</v>
      </c>
      <c r="K8" s="71">
        <v>6</v>
      </c>
      <c r="L8" s="71">
        <v>56</v>
      </c>
      <c r="M8" s="70">
        <f>SUMPRODUCT(Table2[[#This Row],[Physical]:[Beasthood]],Utility!$H$9:$R$9)</f>
        <v>186.5</v>
      </c>
      <c r="N8" s="70">
        <f>SUM(Table2[[#This Row],[Physical]:[Frenzy]])</f>
        <v>314</v>
      </c>
      <c r="O8" s="71">
        <f>RANK(Table2[[#This Row],[TOTAL]],Table2[TOTAL])</f>
        <v>11</v>
      </c>
      <c r="P8" s="71">
        <f>RANK(O8,$O$2:$O$100,1)+COUNTIF($O$1:O7,O8)</f>
        <v>11</v>
      </c>
      <c r="Q8" s="71" cm="1">
        <f t="array" ref="Q8">INDEX($B8:$L8, 1, VLOOKUP(Config!$B$2, Config!$E$2:$F$12, 2, FALSE)-1)</f>
        <v>20</v>
      </c>
      <c r="R8" s="71" cm="1">
        <f t="array" ref="R8">INDEX($B8:$L8, 1, VLOOKUP(Config!$B$3, Config!$E$2:$F$12, 2, FALSE)-1)</f>
        <v>50</v>
      </c>
      <c r="S8" s="71">
        <f t="shared" si="0"/>
        <v>20050314</v>
      </c>
      <c r="T8" s="71">
        <f t="shared" si="1"/>
        <v>32</v>
      </c>
    </row>
    <row r="9" spans="1:20" ht="17" customHeight="1" x14ac:dyDescent="0.35">
      <c r="A9" s="70" t="s">
        <v>20</v>
      </c>
      <c r="B9" s="70">
        <v>50</v>
      </c>
      <c r="C9" s="70">
        <v>30</v>
      </c>
      <c r="D9" s="70">
        <v>50</v>
      </c>
      <c r="E9" s="70">
        <v>30</v>
      </c>
      <c r="F9" s="70">
        <v>40</v>
      </c>
      <c r="G9" s="70">
        <v>30</v>
      </c>
      <c r="H9" s="70">
        <v>50</v>
      </c>
      <c r="I9" s="71">
        <v>20</v>
      </c>
      <c r="J9" s="71">
        <v>19</v>
      </c>
      <c r="K9" s="71">
        <v>11</v>
      </c>
      <c r="L9" s="71">
        <v>9</v>
      </c>
      <c r="M9" s="70">
        <f>SUMPRODUCT(Table2[[#This Row],[Physical]:[Beasthood]],Utility!$H$9:$R$9)</f>
        <v>178.5</v>
      </c>
      <c r="N9" s="70">
        <f>SUM(Table2[[#This Row],[Physical]:[Frenzy]])</f>
        <v>330</v>
      </c>
      <c r="O9" s="71">
        <f>RANK(Table2[[#This Row],[TOTAL]],Table2[TOTAL])</f>
        <v>21</v>
      </c>
      <c r="P9" s="71">
        <f>RANK(O9,$O$2:$O$100,1)+COUNTIF($O$1:O8,O9)</f>
        <v>21</v>
      </c>
      <c r="Q9" s="71" cm="1">
        <f t="array" ref="Q9">INDEX($B9:$L9, 1, VLOOKUP(Config!$B$2, Config!$E$2:$F$12, 2, FALSE)-1)</f>
        <v>30</v>
      </c>
      <c r="R9" s="71" cm="1">
        <f t="array" ref="R9">INDEX($B9:$L9, 1, VLOOKUP(Config!$B$3, Config!$E$2:$F$12, 2, FALSE)-1)</f>
        <v>50</v>
      </c>
      <c r="S9" s="71">
        <f t="shared" si="0"/>
        <v>30050330</v>
      </c>
      <c r="T9" s="71">
        <f t="shared" si="1"/>
        <v>23</v>
      </c>
    </row>
    <row r="10" spans="1:20" ht="17" customHeight="1" x14ac:dyDescent="0.35">
      <c r="A10" s="70" t="s">
        <v>21</v>
      </c>
      <c r="B10" s="70">
        <v>60</v>
      </c>
      <c r="C10" s="70">
        <v>40</v>
      </c>
      <c r="D10" s="70">
        <v>40</v>
      </c>
      <c r="E10" s="70">
        <v>60</v>
      </c>
      <c r="F10" s="70">
        <v>20</v>
      </c>
      <c r="G10" s="70">
        <v>40</v>
      </c>
      <c r="H10" s="70">
        <v>10</v>
      </c>
      <c r="I10" s="71">
        <v>12</v>
      </c>
      <c r="J10" s="71">
        <v>13</v>
      </c>
      <c r="K10" s="71">
        <v>8</v>
      </c>
      <c r="L10" s="71">
        <v>7</v>
      </c>
      <c r="M10" s="70">
        <f>SUMPRODUCT(Table2[[#This Row],[Physical]:[Beasthood]],Utility!$H$9:$R$9)</f>
        <v>183.4</v>
      </c>
      <c r="N10" s="70">
        <f>SUM(Table2[[#This Row],[Physical]:[Frenzy]])</f>
        <v>303</v>
      </c>
      <c r="O10" s="71">
        <f>RANK(Table2[[#This Row],[TOTAL]],Table2[TOTAL])</f>
        <v>16</v>
      </c>
      <c r="P10" s="71">
        <f>RANK(O10,$O$2:$O$100,1)+COUNTIF($O$1:O9,O10)</f>
        <v>16</v>
      </c>
      <c r="Q10" s="71" cm="1">
        <f t="array" ref="Q10">INDEX($B10:$L10, 1, VLOOKUP(Config!$B$2, Config!$E$2:$F$12, 2, FALSE)-1)</f>
        <v>40</v>
      </c>
      <c r="R10" s="71" cm="1">
        <f t="array" ref="R10">INDEX($B10:$L10, 1, VLOOKUP(Config!$B$3, Config!$E$2:$F$12, 2, FALSE)-1)</f>
        <v>60</v>
      </c>
      <c r="S10" s="71">
        <f t="shared" si="0"/>
        <v>40060303</v>
      </c>
      <c r="T10" s="71">
        <f t="shared" si="1"/>
        <v>15</v>
      </c>
    </row>
    <row r="11" spans="1:20" ht="17" customHeight="1" x14ac:dyDescent="0.35">
      <c r="A11" s="70" t="s">
        <v>22</v>
      </c>
      <c r="B11" s="70">
        <v>40</v>
      </c>
      <c r="C11" s="70">
        <v>30</v>
      </c>
      <c r="D11" s="70">
        <v>20</v>
      </c>
      <c r="E11" s="70">
        <v>70</v>
      </c>
      <c r="F11" s="70">
        <v>50</v>
      </c>
      <c r="G11" s="70">
        <v>30</v>
      </c>
      <c r="H11" s="70">
        <v>20</v>
      </c>
      <c r="I11" s="71">
        <v>7</v>
      </c>
      <c r="J11" s="71">
        <v>7</v>
      </c>
      <c r="K11" s="71">
        <v>4</v>
      </c>
      <c r="L11" s="71">
        <v>4</v>
      </c>
      <c r="M11" s="70">
        <f>SUMPRODUCT(Table2[[#This Row],[Physical]:[Beasthood]],Utility!$H$9:$R$9)</f>
        <v>160.19999999999999</v>
      </c>
      <c r="N11" s="70">
        <f>SUM(Table2[[#This Row],[Physical]:[Frenzy]])</f>
        <v>278</v>
      </c>
      <c r="O11" s="71">
        <f>RANK(Table2[[#This Row],[TOTAL]],Table2[TOTAL])</f>
        <v>26</v>
      </c>
      <c r="P11" s="71">
        <f>RANK(O11,$O$2:$O$100,1)+COUNTIF($O$1:O10,O11)</f>
        <v>26</v>
      </c>
      <c r="Q11" s="71" cm="1">
        <f t="array" ref="Q11">INDEX($B11:$L11, 1, VLOOKUP(Config!$B$2, Config!$E$2:$F$12, 2, FALSE)-1)</f>
        <v>30</v>
      </c>
      <c r="R11" s="71" cm="1">
        <f t="array" ref="R11">INDEX($B11:$L11, 1, VLOOKUP(Config!$B$3, Config!$E$2:$F$12, 2, FALSE)-1)</f>
        <v>40</v>
      </c>
      <c r="S11" s="71">
        <f t="shared" si="0"/>
        <v>30040278</v>
      </c>
      <c r="T11" s="71">
        <f t="shared" si="1"/>
        <v>25</v>
      </c>
    </row>
    <row r="12" spans="1:20" ht="17" customHeight="1" x14ac:dyDescent="0.35">
      <c r="A12" s="70" t="s">
        <v>23</v>
      </c>
      <c r="B12" s="70">
        <v>10</v>
      </c>
      <c r="C12" s="70">
        <v>10</v>
      </c>
      <c r="D12" s="70">
        <v>10</v>
      </c>
      <c r="E12" s="70">
        <v>20</v>
      </c>
      <c r="F12" s="70">
        <v>20</v>
      </c>
      <c r="G12" s="70">
        <v>30</v>
      </c>
      <c r="H12" s="70">
        <v>20</v>
      </c>
      <c r="I12" s="71">
        <v>14</v>
      </c>
      <c r="J12" s="71">
        <v>10</v>
      </c>
      <c r="K12" s="71">
        <v>13</v>
      </c>
      <c r="L12" s="71">
        <v>10</v>
      </c>
      <c r="M12" s="70">
        <f>SUMPRODUCT(Table2[[#This Row],[Physical]:[Beasthood]],Utility!$H$9:$R$9)</f>
        <v>69.099999999999994</v>
      </c>
      <c r="N12" s="70">
        <f>SUM(Table2[[#This Row],[Physical]:[Frenzy]])</f>
        <v>157</v>
      </c>
      <c r="O12" s="71">
        <f>RANK(Table2[[#This Row],[TOTAL]],Table2[TOTAL])</f>
        <v>34</v>
      </c>
      <c r="P12" s="71">
        <f>RANK(O12,$O$2:$O$100,1)+COUNTIF($O$1:O11,O12)</f>
        <v>34</v>
      </c>
      <c r="Q12" s="71" cm="1">
        <f t="array" ref="Q12">INDEX($B12:$L12, 1, VLOOKUP(Config!$B$2, Config!$E$2:$F$12, 2, FALSE)-1)</f>
        <v>30</v>
      </c>
      <c r="R12" s="71" cm="1">
        <f t="array" ref="R12">INDEX($B12:$L12, 1, VLOOKUP(Config!$B$3, Config!$E$2:$F$12, 2, FALSE)-1)</f>
        <v>10</v>
      </c>
      <c r="S12" s="71">
        <f t="shared" si="0"/>
        <v>30010157</v>
      </c>
      <c r="T12" s="71">
        <f t="shared" si="1"/>
        <v>29</v>
      </c>
    </row>
    <row r="13" spans="1:20" ht="17" customHeight="1" x14ac:dyDescent="0.35">
      <c r="A13" s="70" t="s">
        <v>24</v>
      </c>
      <c r="B13" s="70">
        <v>20</v>
      </c>
      <c r="C13" s="70">
        <v>60</v>
      </c>
      <c r="D13" s="70">
        <v>0</v>
      </c>
      <c r="E13" s="70">
        <v>20</v>
      </c>
      <c r="F13" s="70">
        <v>50</v>
      </c>
      <c r="G13" s="70">
        <v>20</v>
      </c>
      <c r="H13" s="70">
        <v>20</v>
      </c>
      <c r="I13" s="71">
        <v>6</v>
      </c>
      <c r="J13" s="71">
        <v>6</v>
      </c>
      <c r="K13" s="71">
        <v>1</v>
      </c>
      <c r="L13" s="71">
        <v>0</v>
      </c>
      <c r="M13" s="70">
        <f>SUMPRODUCT(Table2[[#This Row],[Physical]:[Beasthood]],Utility!$H$9:$R$9)</f>
        <v>124</v>
      </c>
      <c r="N13" s="70">
        <f>SUM(Table2[[#This Row],[Physical]:[Frenzy]])</f>
        <v>203</v>
      </c>
      <c r="O13" s="71">
        <f>RANK(Table2[[#This Row],[TOTAL]],Table2[TOTAL])</f>
        <v>31</v>
      </c>
      <c r="P13" s="71">
        <f>RANK(O13,$O$2:$O$100,1)+COUNTIF($O$1:O12,O13)</f>
        <v>31</v>
      </c>
      <c r="Q13" s="71" cm="1">
        <f t="array" ref="Q13">INDEX($B13:$L13, 1, VLOOKUP(Config!$B$2, Config!$E$2:$F$12, 2, FALSE)-1)</f>
        <v>20</v>
      </c>
      <c r="R13" s="71" cm="1">
        <f t="array" ref="R13">INDEX($B13:$L13, 1, VLOOKUP(Config!$B$3, Config!$E$2:$F$12, 2, FALSE)-1)</f>
        <v>20</v>
      </c>
      <c r="S13" s="71">
        <f t="shared" si="0"/>
        <v>20020203</v>
      </c>
      <c r="T13" s="71">
        <f t="shared" si="1"/>
        <v>34</v>
      </c>
    </row>
    <row r="14" spans="1:20" ht="17" customHeight="1" x14ac:dyDescent="0.35">
      <c r="A14" s="70" t="s">
        <v>25</v>
      </c>
      <c r="B14" s="70">
        <v>40</v>
      </c>
      <c r="C14" s="70">
        <v>40</v>
      </c>
      <c r="D14" s="70">
        <v>30</v>
      </c>
      <c r="E14" s="70">
        <v>40</v>
      </c>
      <c r="F14" s="70">
        <v>50</v>
      </c>
      <c r="G14" s="70">
        <v>50</v>
      </c>
      <c r="H14" s="70">
        <v>50</v>
      </c>
      <c r="I14" s="71">
        <v>17</v>
      </c>
      <c r="J14" s="71">
        <v>13</v>
      </c>
      <c r="K14" s="71">
        <v>7</v>
      </c>
      <c r="L14" s="71">
        <v>15</v>
      </c>
      <c r="M14" s="70">
        <f>SUMPRODUCT(Table2[[#This Row],[Physical]:[Beasthood]],Utility!$H$9:$R$9)</f>
        <v>184.3</v>
      </c>
      <c r="N14" s="70">
        <f>SUM(Table2[[#This Row],[Physical]:[Frenzy]])</f>
        <v>337</v>
      </c>
      <c r="O14" s="71">
        <f>RANK(Table2[[#This Row],[TOTAL]],Table2[TOTAL])</f>
        <v>15</v>
      </c>
      <c r="P14" s="71">
        <f>RANK(O14,$O$2:$O$100,1)+COUNTIF($O$1:O13,O14)</f>
        <v>15</v>
      </c>
      <c r="Q14" s="71" cm="1">
        <f t="array" ref="Q14">INDEX($B14:$L14, 1, VLOOKUP(Config!$B$2, Config!$E$2:$F$12, 2, FALSE)-1)</f>
        <v>50</v>
      </c>
      <c r="R14" s="71" cm="1">
        <f t="array" ref="R14">INDEX($B14:$L14, 1, VLOOKUP(Config!$B$3, Config!$E$2:$F$12, 2, FALSE)-1)</f>
        <v>40</v>
      </c>
      <c r="S14" s="71">
        <f t="shared" si="0"/>
        <v>50040337</v>
      </c>
      <c r="T14" s="71">
        <f t="shared" si="1"/>
        <v>13</v>
      </c>
    </row>
    <row r="15" spans="1:20" ht="17" customHeight="1" x14ac:dyDescent="0.35">
      <c r="A15" s="70" t="s">
        <v>26</v>
      </c>
      <c r="B15" s="70">
        <v>40</v>
      </c>
      <c r="C15" s="70">
        <v>40</v>
      </c>
      <c r="D15" s="70">
        <v>40</v>
      </c>
      <c r="E15" s="70">
        <v>50</v>
      </c>
      <c r="F15" s="70">
        <v>30</v>
      </c>
      <c r="G15" s="70">
        <v>40</v>
      </c>
      <c r="H15" s="70">
        <v>30</v>
      </c>
      <c r="I15" s="71">
        <v>11</v>
      </c>
      <c r="J15" s="71">
        <v>12</v>
      </c>
      <c r="K15" s="71">
        <v>17</v>
      </c>
      <c r="L15" s="71">
        <v>15</v>
      </c>
      <c r="M15" s="70">
        <f>SUMPRODUCT(Table2[[#This Row],[Physical]:[Beasthood]],Utility!$H$9:$R$9)</f>
        <v>171.4</v>
      </c>
      <c r="N15" s="70">
        <f>SUM(Table2[[#This Row],[Physical]:[Frenzy]])</f>
        <v>310</v>
      </c>
      <c r="O15" s="71">
        <f>RANK(Table2[[#This Row],[TOTAL]],Table2[TOTAL])</f>
        <v>22</v>
      </c>
      <c r="P15" s="71">
        <f>RANK(O15,$O$2:$O$100,1)+COUNTIF($O$1:O14,O15)</f>
        <v>22</v>
      </c>
      <c r="Q15" s="71" cm="1">
        <f t="array" ref="Q15">INDEX($B15:$L15, 1, VLOOKUP(Config!$B$2, Config!$E$2:$F$12, 2, FALSE)-1)</f>
        <v>40</v>
      </c>
      <c r="R15" s="71" cm="1">
        <f t="array" ref="R15">INDEX($B15:$L15, 1, VLOOKUP(Config!$B$3, Config!$E$2:$F$12, 2, FALSE)-1)</f>
        <v>40</v>
      </c>
      <c r="S15" s="71">
        <f t="shared" si="0"/>
        <v>40040310</v>
      </c>
      <c r="T15" s="71">
        <f t="shared" si="1"/>
        <v>20</v>
      </c>
    </row>
    <row r="16" spans="1:20" ht="17" customHeight="1" x14ac:dyDescent="0.35">
      <c r="A16" s="70" t="s">
        <v>27</v>
      </c>
      <c r="B16" s="70">
        <v>50</v>
      </c>
      <c r="C16" s="70">
        <v>40</v>
      </c>
      <c r="D16" s="70">
        <v>60</v>
      </c>
      <c r="E16" s="70">
        <v>40</v>
      </c>
      <c r="F16" s="70">
        <v>40</v>
      </c>
      <c r="G16" s="70">
        <v>40</v>
      </c>
      <c r="H16" s="70">
        <v>70</v>
      </c>
      <c r="I16" s="71">
        <v>12</v>
      </c>
      <c r="J16" s="71">
        <v>15</v>
      </c>
      <c r="K16" s="71">
        <v>13</v>
      </c>
      <c r="L16" s="71">
        <v>16</v>
      </c>
      <c r="M16" s="70">
        <f>SUMPRODUCT(Table2[[#This Row],[Physical]:[Beasthood]],Utility!$H$9:$R$9)</f>
        <v>209.6</v>
      </c>
      <c r="N16" s="70">
        <f>SUM(Table2[[#This Row],[Physical]:[Frenzy]])</f>
        <v>380</v>
      </c>
      <c r="O16" s="71">
        <f>RANK(Table2[[#This Row],[TOTAL]],Table2[TOTAL])</f>
        <v>2</v>
      </c>
      <c r="P16" s="71">
        <f>RANK(O16,$O$2:$O$100,1)+COUNTIF($O$1:O15,O16)</f>
        <v>2</v>
      </c>
      <c r="Q16" s="71" cm="1">
        <f t="array" ref="Q16">INDEX($B16:$L16, 1, VLOOKUP(Config!$B$2, Config!$E$2:$F$12, 2, FALSE)-1)</f>
        <v>40</v>
      </c>
      <c r="R16" s="71" cm="1">
        <f t="array" ref="R16">INDEX($B16:$L16, 1, VLOOKUP(Config!$B$3, Config!$E$2:$F$12, 2, FALSE)-1)</f>
        <v>50</v>
      </c>
      <c r="S16" s="71">
        <f t="shared" si="0"/>
        <v>40050380</v>
      </c>
      <c r="T16" s="71">
        <f t="shared" si="1"/>
        <v>16</v>
      </c>
    </row>
    <row r="17" spans="1:20" ht="17" customHeight="1" x14ac:dyDescent="0.35">
      <c r="A17" s="70" t="s">
        <v>28</v>
      </c>
      <c r="B17" s="70">
        <v>40</v>
      </c>
      <c r="C17" s="70">
        <v>40</v>
      </c>
      <c r="D17" s="70">
        <v>50</v>
      </c>
      <c r="E17" s="70">
        <v>40</v>
      </c>
      <c r="F17" s="70">
        <v>50</v>
      </c>
      <c r="G17" s="70">
        <v>40</v>
      </c>
      <c r="H17" s="70">
        <v>50</v>
      </c>
      <c r="I17" s="71">
        <v>16</v>
      </c>
      <c r="J17" s="71">
        <v>16</v>
      </c>
      <c r="K17" s="71">
        <v>32</v>
      </c>
      <c r="L17" s="71">
        <v>13</v>
      </c>
      <c r="M17" s="70">
        <f>SUMPRODUCT(Table2[[#This Row],[Physical]:[Beasthood]],Utility!$H$9:$R$9)</f>
        <v>192.5</v>
      </c>
      <c r="N17" s="70">
        <f>SUM(Table2[[#This Row],[Physical]:[Frenzy]])</f>
        <v>374</v>
      </c>
      <c r="O17" s="71">
        <f>RANK(Table2[[#This Row],[TOTAL]],Table2[TOTAL])</f>
        <v>8</v>
      </c>
      <c r="P17" s="71">
        <f>RANK(O17,$O$2:$O$100,1)+COUNTIF($O$1:O16,O17)</f>
        <v>8</v>
      </c>
      <c r="Q17" s="71" cm="1">
        <f t="array" ref="Q17">INDEX($B17:$L17, 1, VLOOKUP(Config!$B$2, Config!$E$2:$F$12, 2, FALSE)-1)</f>
        <v>40</v>
      </c>
      <c r="R17" s="71" cm="1">
        <f t="array" ref="R17">INDEX($B17:$L17, 1, VLOOKUP(Config!$B$3, Config!$E$2:$F$12, 2, FALSE)-1)</f>
        <v>40</v>
      </c>
      <c r="S17" s="71">
        <f t="shared" si="0"/>
        <v>40040374</v>
      </c>
      <c r="T17" s="71">
        <f t="shared" si="1"/>
        <v>18</v>
      </c>
    </row>
    <row r="18" spans="1:20" ht="17" customHeight="1" x14ac:dyDescent="0.35">
      <c r="A18" s="70" t="s">
        <v>29</v>
      </c>
      <c r="B18" s="70">
        <v>50</v>
      </c>
      <c r="C18" s="70">
        <v>40</v>
      </c>
      <c r="D18" s="70">
        <v>40</v>
      </c>
      <c r="E18" s="70">
        <v>50</v>
      </c>
      <c r="F18" s="70">
        <v>20</v>
      </c>
      <c r="G18" s="70">
        <v>50</v>
      </c>
      <c r="H18" s="70">
        <v>30</v>
      </c>
      <c r="I18" s="71">
        <v>9</v>
      </c>
      <c r="J18" s="71">
        <v>12</v>
      </c>
      <c r="K18" s="71">
        <v>19</v>
      </c>
      <c r="L18" s="71">
        <v>37</v>
      </c>
      <c r="M18" s="70">
        <f>SUMPRODUCT(Table2[[#This Row],[Physical]:[Beasthood]],Utility!$H$9:$R$9)</f>
        <v>181.4</v>
      </c>
      <c r="N18" s="70">
        <f>SUM(Table2[[#This Row],[Physical]:[Frenzy]])</f>
        <v>320</v>
      </c>
      <c r="O18" s="71">
        <f>RANK(Table2[[#This Row],[TOTAL]],Table2[TOTAL])</f>
        <v>20</v>
      </c>
      <c r="P18" s="71">
        <f>RANK(O18,$O$2:$O$100,1)+COUNTIF($O$1:O17,O18)</f>
        <v>20</v>
      </c>
      <c r="Q18" s="71" cm="1">
        <f t="array" ref="Q18">INDEX($B18:$L18, 1, VLOOKUP(Config!$B$2, Config!$E$2:$F$12, 2, FALSE)-1)</f>
        <v>50</v>
      </c>
      <c r="R18" s="71" cm="1">
        <f t="array" ref="R18">INDEX($B18:$L18, 1, VLOOKUP(Config!$B$3, Config!$E$2:$F$12, 2, FALSE)-1)</f>
        <v>50</v>
      </c>
      <c r="S18" s="71">
        <f t="shared" si="0"/>
        <v>50050320</v>
      </c>
      <c r="T18" s="71">
        <f t="shared" si="1"/>
        <v>8</v>
      </c>
    </row>
    <row r="19" spans="1:20" ht="17" customHeight="1" x14ac:dyDescent="0.35">
      <c r="A19" s="70" t="s">
        <v>30</v>
      </c>
      <c r="B19" s="70">
        <v>60</v>
      </c>
      <c r="C19" s="70">
        <v>40</v>
      </c>
      <c r="D19" s="70">
        <v>50</v>
      </c>
      <c r="E19" s="70">
        <v>40</v>
      </c>
      <c r="F19" s="70">
        <v>60</v>
      </c>
      <c r="G19" s="70">
        <v>50</v>
      </c>
      <c r="H19" s="70">
        <v>50</v>
      </c>
      <c r="I19" s="71">
        <v>20</v>
      </c>
      <c r="J19" s="71">
        <v>19</v>
      </c>
      <c r="K19" s="71">
        <v>2</v>
      </c>
      <c r="L19" s="71">
        <v>18</v>
      </c>
      <c r="M19" s="70">
        <f>SUMPRODUCT(Table2[[#This Row],[Physical]:[Beasthood]],Utility!$H$9:$R$9)</f>
        <v>224.5</v>
      </c>
      <c r="N19" s="70">
        <f>SUM(Table2[[#This Row],[Physical]:[Frenzy]])</f>
        <v>391</v>
      </c>
      <c r="O19" s="71">
        <f>RANK(Table2[[#This Row],[TOTAL]],Table2[TOTAL])</f>
        <v>1</v>
      </c>
      <c r="P19" s="71">
        <f>RANK(O19,$O$2:$O$100,1)+COUNTIF($O$1:O18,O19)</f>
        <v>1</v>
      </c>
      <c r="Q19" s="71" cm="1">
        <f t="array" ref="Q19">INDEX($B19:$L19, 1, VLOOKUP(Config!$B$2, Config!$E$2:$F$12, 2, FALSE)-1)</f>
        <v>50</v>
      </c>
      <c r="R19" s="71" cm="1">
        <f t="array" ref="R19">INDEX($B19:$L19, 1, VLOOKUP(Config!$B$3, Config!$E$2:$F$12, 2, FALSE)-1)</f>
        <v>60</v>
      </c>
      <c r="S19" s="71">
        <f t="shared" si="0"/>
        <v>50060391</v>
      </c>
      <c r="T19" s="71">
        <f t="shared" si="1"/>
        <v>6</v>
      </c>
    </row>
    <row r="20" spans="1:20" ht="17" customHeight="1" x14ac:dyDescent="0.35">
      <c r="A20" s="70" t="s">
        <v>31</v>
      </c>
      <c r="B20" s="70">
        <v>50</v>
      </c>
      <c r="C20" s="70">
        <v>50</v>
      </c>
      <c r="D20" s="70">
        <v>40</v>
      </c>
      <c r="E20" s="70">
        <v>40</v>
      </c>
      <c r="F20" s="70">
        <v>20</v>
      </c>
      <c r="G20" s="70">
        <v>30</v>
      </c>
      <c r="H20" s="70">
        <v>60</v>
      </c>
      <c r="I20" s="71">
        <v>7</v>
      </c>
      <c r="J20" s="71">
        <v>14</v>
      </c>
      <c r="K20" s="71">
        <v>15</v>
      </c>
      <c r="L20" s="71">
        <v>20</v>
      </c>
      <c r="M20" s="70">
        <f>SUMPRODUCT(Table2[[#This Row],[Physical]:[Beasthood]],Utility!$H$9:$R$9)</f>
        <v>182.4</v>
      </c>
      <c r="N20" s="70">
        <f>SUM(Table2[[#This Row],[Physical]:[Frenzy]])</f>
        <v>326</v>
      </c>
      <c r="O20" s="71">
        <f>RANK(Table2[[#This Row],[TOTAL]],Table2[TOTAL])</f>
        <v>17</v>
      </c>
      <c r="P20" s="71">
        <f>RANK(O20,$O$2:$O$100,1)+COUNTIF($O$1:O19,O20)</f>
        <v>17</v>
      </c>
      <c r="Q20" s="71" cm="1">
        <f t="array" ref="Q20">INDEX($B20:$L20, 1, VLOOKUP(Config!$B$2, Config!$E$2:$F$12, 2, FALSE)-1)</f>
        <v>30</v>
      </c>
      <c r="R20" s="71" cm="1">
        <f t="array" ref="R20">INDEX($B20:$L20, 1, VLOOKUP(Config!$B$3, Config!$E$2:$F$12, 2, FALSE)-1)</f>
        <v>50</v>
      </c>
      <c r="S20" s="71">
        <f t="shared" si="0"/>
        <v>30050326</v>
      </c>
      <c r="T20" s="71">
        <f t="shared" si="1"/>
        <v>24</v>
      </c>
    </row>
    <row r="21" spans="1:20" ht="17" customHeight="1" x14ac:dyDescent="0.35">
      <c r="A21" s="70" t="s">
        <v>32</v>
      </c>
      <c r="B21" s="70">
        <v>50</v>
      </c>
      <c r="C21" s="70">
        <v>50</v>
      </c>
      <c r="D21" s="70">
        <v>40</v>
      </c>
      <c r="E21" s="70">
        <v>50</v>
      </c>
      <c r="F21" s="70">
        <v>20</v>
      </c>
      <c r="G21" s="70">
        <v>50</v>
      </c>
      <c r="H21" s="70">
        <v>30</v>
      </c>
      <c r="I21" s="71">
        <v>5</v>
      </c>
      <c r="J21" s="71">
        <v>11</v>
      </c>
      <c r="K21" s="71">
        <v>14</v>
      </c>
      <c r="L21" s="71">
        <v>16</v>
      </c>
      <c r="M21" s="70">
        <f>SUMPRODUCT(Table2[[#This Row],[Physical]:[Beasthood]],Utility!$H$9:$R$9)</f>
        <v>189.4</v>
      </c>
      <c r="N21" s="70">
        <f>SUM(Table2[[#This Row],[Physical]:[Frenzy]])</f>
        <v>320</v>
      </c>
      <c r="O21" s="71">
        <f>RANK(Table2[[#This Row],[TOTAL]],Table2[TOTAL])</f>
        <v>9</v>
      </c>
      <c r="P21" s="71">
        <f>RANK(O21,$O$2:$O$100,1)+COUNTIF($O$1:O20,O21)</f>
        <v>9</v>
      </c>
      <c r="Q21" s="71" cm="1">
        <f t="array" ref="Q21">INDEX($B21:$L21, 1, VLOOKUP(Config!$B$2, Config!$E$2:$F$12, 2, FALSE)-1)</f>
        <v>50</v>
      </c>
      <c r="R21" s="71" cm="1">
        <f t="array" ref="R21">INDEX($B21:$L21, 1, VLOOKUP(Config!$B$3, Config!$E$2:$F$12, 2, FALSE)-1)</f>
        <v>50</v>
      </c>
      <c r="S21" s="71">
        <f t="shared" si="0"/>
        <v>50050320</v>
      </c>
      <c r="T21" s="71">
        <f t="shared" si="1"/>
        <v>8</v>
      </c>
    </row>
    <row r="22" spans="1:20" ht="17" customHeight="1" x14ac:dyDescent="0.35">
      <c r="A22" s="70" t="s">
        <v>33</v>
      </c>
      <c r="B22" s="70">
        <v>60</v>
      </c>
      <c r="C22" s="70">
        <v>40</v>
      </c>
      <c r="D22" s="70">
        <v>10</v>
      </c>
      <c r="E22" s="70">
        <v>20</v>
      </c>
      <c r="F22" s="70">
        <v>20</v>
      </c>
      <c r="G22" s="70">
        <v>30</v>
      </c>
      <c r="H22" s="70">
        <v>10</v>
      </c>
      <c r="I22" s="71">
        <v>5</v>
      </c>
      <c r="J22" s="71">
        <v>7</v>
      </c>
      <c r="K22" s="71">
        <v>9</v>
      </c>
      <c r="L22" s="71">
        <v>12</v>
      </c>
      <c r="M22" s="70">
        <f>SUMPRODUCT(Table2[[#This Row],[Physical]:[Beasthood]],Utility!$H$9:$R$9)</f>
        <v>140.1</v>
      </c>
      <c r="N22" s="70">
        <f>SUM(Table2[[#This Row],[Physical]:[Frenzy]])</f>
        <v>211</v>
      </c>
      <c r="O22" s="71">
        <f>RANK(Table2[[#This Row],[TOTAL]],Table2[TOTAL])</f>
        <v>29</v>
      </c>
      <c r="P22" s="71">
        <f>RANK(O22,$O$2:$O$100,1)+COUNTIF($O$1:O21,O22)</f>
        <v>29</v>
      </c>
      <c r="Q22" s="71" cm="1">
        <f t="array" ref="Q22">INDEX($B22:$L22, 1, VLOOKUP(Config!$B$2, Config!$E$2:$F$12, 2, FALSE)-1)</f>
        <v>30</v>
      </c>
      <c r="R22" s="71" cm="1">
        <f t="array" ref="R22">INDEX($B22:$L22, 1, VLOOKUP(Config!$B$3, Config!$E$2:$F$12, 2, FALSE)-1)</f>
        <v>60</v>
      </c>
      <c r="S22" s="71">
        <f t="shared" si="0"/>
        <v>30060211</v>
      </c>
      <c r="T22" s="71">
        <f t="shared" si="1"/>
        <v>22</v>
      </c>
    </row>
    <row r="23" spans="1:20" ht="17" customHeight="1" x14ac:dyDescent="0.35">
      <c r="A23" s="70" t="s">
        <v>34</v>
      </c>
      <c r="B23" s="70">
        <v>30</v>
      </c>
      <c r="C23" s="70">
        <v>40</v>
      </c>
      <c r="D23" s="70">
        <v>40</v>
      </c>
      <c r="E23" s="70">
        <v>60</v>
      </c>
      <c r="F23" s="70">
        <v>40</v>
      </c>
      <c r="G23" s="70">
        <v>30</v>
      </c>
      <c r="H23" s="70">
        <v>50</v>
      </c>
      <c r="I23" s="71">
        <v>8</v>
      </c>
      <c r="J23" s="71">
        <v>14</v>
      </c>
      <c r="K23" s="71">
        <v>13</v>
      </c>
      <c r="L23" s="71">
        <v>12</v>
      </c>
      <c r="M23" s="70">
        <f>SUMPRODUCT(Table2[[#This Row],[Physical]:[Beasthood]],Utility!$H$9:$R$9)</f>
        <v>171.4</v>
      </c>
      <c r="N23" s="70">
        <f>SUM(Table2[[#This Row],[Physical]:[Frenzy]])</f>
        <v>325</v>
      </c>
      <c r="O23" s="71">
        <f>RANK(Table2[[#This Row],[TOTAL]],Table2[TOTAL])</f>
        <v>22</v>
      </c>
      <c r="P23" s="71">
        <f>RANK(O23,$O$2:$O$100,1)+COUNTIF($O$1:O22,O23)</f>
        <v>23</v>
      </c>
      <c r="Q23" s="71" cm="1">
        <f t="array" ref="Q23">INDEX($B23:$L23, 1, VLOOKUP(Config!$B$2, Config!$E$2:$F$12, 2, FALSE)-1)</f>
        <v>30</v>
      </c>
      <c r="R23" s="71" cm="1">
        <f t="array" ref="R23">INDEX($B23:$L23, 1, VLOOKUP(Config!$B$3, Config!$E$2:$F$12, 2, FALSE)-1)</f>
        <v>30</v>
      </c>
      <c r="S23" s="71">
        <f t="shared" si="0"/>
        <v>30030325</v>
      </c>
      <c r="T23" s="71">
        <f t="shared" si="1"/>
        <v>26</v>
      </c>
    </row>
    <row r="24" spans="1:20" ht="17" customHeight="1" x14ac:dyDescent="0.35">
      <c r="A24" s="70" t="s">
        <v>35</v>
      </c>
      <c r="B24" s="70">
        <v>40</v>
      </c>
      <c r="C24" s="70">
        <v>30</v>
      </c>
      <c r="D24" s="70">
        <v>40</v>
      </c>
      <c r="E24" s="70">
        <v>40</v>
      </c>
      <c r="F24" s="70">
        <v>60</v>
      </c>
      <c r="G24" s="70">
        <v>50</v>
      </c>
      <c r="H24" s="70">
        <v>50</v>
      </c>
      <c r="I24" s="71">
        <v>18</v>
      </c>
      <c r="J24" s="71">
        <v>17</v>
      </c>
      <c r="K24" s="71">
        <v>1</v>
      </c>
      <c r="L24" s="71">
        <v>9</v>
      </c>
      <c r="M24" s="70">
        <f>SUMPRODUCT(Table2[[#This Row],[Physical]:[Beasthood]],Utility!$H$9:$R$9)</f>
        <v>189.4</v>
      </c>
      <c r="N24" s="70">
        <f>SUM(Table2[[#This Row],[Physical]:[Frenzy]])</f>
        <v>346</v>
      </c>
      <c r="O24" s="71">
        <f>RANK(Table2[[#This Row],[TOTAL]],Table2[TOTAL])</f>
        <v>9</v>
      </c>
      <c r="P24" s="71">
        <f>RANK(O24,$O$2:$O$100,1)+COUNTIF($O$1:O23,O24)</f>
        <v>10</v>
      </c>
      <c r="Q24" s="71" cm="1">
        <f t="array" ref="Q24">INDEX($B24:$L24, 1, VLOOKUP(Config!$B$2, Config!$E$2:$F$12, 2, FALSE)-1)</f>
        <v>50</v>
      </c>
      <c r="R24" s="71" cm="1">
        <f t="array" ref="R24">INDEX($B24:$L24, 1, VLOOKUP(Config!$B$3, Config!$E$2:$F$12, 2, FALSE)-1)</f>
        <v>40</v>
      </c>
      <c r="S24" s="71">
        <f t="shared" si="0"/>
        <v>50040346</v>
      </c>
      <c r="T24" s="71">
        <f t="shared" si="1"/>
        <v>12</v>
      </c>
    </row>
    <row r="25" spans="1:20" ht="17" customHeight="1" x14ac:dyDescent="0.35">
      <c r="A25" s="70" t="s">
        <v>36</v>
      </c>
      <c r="B25" s="70">
        <v>40</v>
      </c>
      <c r="C25" s="70">
        <v>40</v>
      </c>
      <c r="D25" s="70">
        <v>40</v>
      </c>
      <c r="E25" s="70">
        <v>70</v>
      </c>
      <c r="F25" s="70">
        <v>30</v>
      </c>
      <c r="G25" s="70">
        <v>40</v>
      </c>
      <c r="H25" s="70">
        <v>50</v>
      </c>
      <c r="I25" s="71">
        <v>6</v>
      </c>
      <c r="J25" s="71">
        <v>17</v>
      </c>
      <c r="K25" s="71">
        <v>10</v>
      </c>
      <c r="L25" s="71">
        <v>4</v>
      </c>
      <c r="M25" s="70">
        <f>SUMPRODUCT(Table2[[#This Row],[Physical]:[Beasthood]],Utility!$H$9:$R$9)</f>
        <v>185.4</v>
      </c>
      <c r="N25" s="70">
        <f>SUM(Table2[[#This Row],[Physical]:[Frenzy]])</f>
        <v>343</v>
      </c>
      <c r="O25" s="71">
        <f>RANK(Table2[[#This Row],[TOTAL]],Table2[TOTAL])</f>
        <v>13</v>
      </c>
      <c r="P25" s="71">
        <f>RANK(O25,$O$2:$O$100,1)+COUNTIF($O$1:O24,O25)</f>
        <v>14</v>
      </c>
      <c r="Q25" s="71" cm="1">
        <f t="array" ref="Q25">INDEX($B25:$L25, 1, VLOOKUP(Config!$B$2, Config!$E$2:$F$12, 2, FALSE)-1)</f>
        <v>40</v>
      </c>
      <c r="R25" s="71" cm="1">
        <f t="array" ref="R25">INDEX($B25:$L25, 1, VLOOKUP(Config!$B$3, Config!$E$2:$F$12, 2, FALSE)-1)</f>
        <v>40</v>
      </c>
      <c r="S25" s="71">
        <f t="shared" si="0"/>
        <v>40040343</v>
      </c>
      <c r="T25" s="71">
        <f t="shared" si="1"/>
        <v>19</v>
      </c>
    </row>
    <row r="26" spans="1:20" ht="17" customHeight="1" x14ac:dyDescent="0.35">
      <c r="A26" s="70" t="s">
        <v>37</v>
      </c>
      <c r="B26" s="70">
        <v>60</v>
      </c>
      <c r="C26" s="70">
        <v>20</v>
      </c>
      <c r="D26" s="70">
        <v>50</v>
      </c>
      <c r="E26" s="70">
        <v>50</v>
      </c>
      <c r="F26" s="70">
        <v>20</v>
      </c>
      <c r="G26" s="70">
        <v>20</v>
      </c>
      <c r="H26" s="70">
        <v>0</v>
      </c>
      <c r="I26" s="71">
        <v>6</v>
      </c>
      <c r="J26" s="71">
        <v>10</v>
      </c>
      <c r="K26" s="71">
        <v>13</v>
      </c>
      <c r="L26" s="71">
        <v>23</v>
      </c>
      <c r="M26" s="70">
        <f>SUMPRODUCT(Table2[[#This Row],[Physical]:[Beasthood]],Utility!$H$9:$R$9)</f>
        <v>155.5</v>
      </c>
      <c r="N26" s="70">
        <f>SUM(Table2[[#This Row],[Physical]:[Frenzy]])</f>
        <v>249</v>
      </c>
      <c r="O26" s="71">
        <f>RANK(Table2[[#This Row],[TOTAL]],Table2[TOTAL])</f>
        <v>27</v>
      </c>
      <c r="P26" s="71">
        <f>RANK(O26,$O$2:$O$100,1)+COUNTIF($O$1:O25,O26)</f>
        <v>27</v>
      </c>
      <c r="Q26" s="71" cm="1">
        <f t="array" ref="Q26">INDEX($B26:$L26, 1, VLOOKUP(Config!$B$2, Config!$E$2:$F$12, 2, FALSE)-1)</f>
        <v>20</v>
      </c>
      <c r="R26" s="71" cm="1">
        <f t="array" ref="R26">INDEX($B26:$L26, 1, VLOOKUP(Config!$B$3, Config!$E$2:$F$12, 2, FALSE)-1)</f>
        <v>60</v>
      </c>
      <c r="S26" s="71">
        <f t="shared" si="0"/>
        <v>20060249</v>
      </c>
      <c r="T26" s="71">
        <f t="shared" si="1"/>
        <v>30</v>
      </c>
    </row>
    <row r="27" spans="1:20" ht="17" customHeight="1" x14ac:dyDescent="0.35">
      <c r="A27" s="70" t="s">
        <v>38</v>
      </c>
      <c r="B27" s="70">
        <v>60</v>
      </c>
      <c r="C27" s="70">
        <v>20</v>
      </c>
      <c r="D27" s="70">
        <v>10</v>
      </c>
      <c r="E27" s="70">
        <v>30</v>
      </c>
      <c r="F27" s="70">
        <v>40</v>
      </c>
      <c r="G27" s="70">
        <v>20</v>
      </c>
      <c r="H27" s="70">
        <v>10</v>
      </c>
      <c r="I27" s="71">
        <v>8</v>
      </c>
      <c r="J27" s="71">
        <v>13</v>
      </c>
      <c r="K27" s="71">
        <v>2</v>
      </c>
      <c r="L27" s="71">
        <v>5</v>
      </c>
      <c r="M27" s="70">
        <f>SUMPRODUCT(Table2[[#This Row],[Physical]:[Beasthood]],Utility!$H$9:$R$9)</f>
        <v>134.1</v>
      </c>
      <c r="N27" s="70">
        <f>SUM(Table2[[#This Row],[Physical]:[Frenzy]])</f>
        <v>213</v>
      </c>
      <c r="O27" s="71">
        <f>RANK(Table2[[#This Row],[TOTAL]],Table2[TOTAL])</f>
        <v>30</v>
      </c>
      <c r="P27" s="71">
        <f>RANK(O27,$O$2:$O$100,1)+COUNTIF($O$1:O26,O27)</f>
        <v>30</v>
      </c>
      <c r="Q27" s="71" cm="1">
        <f t="array" ref="Q27">INDEX($B27:$L27, 1, VLOOKUP(Config!$B$2, Config!$E$2:$F$12, 2, FALSE)-1)</f>
        <v>20</v>
      </c>
      <c r="R27" s="71" cm="1">
        <f t="array" ref="R27">INDEX($B27:$L27, 1, VLOOKUP(Config!$B$3, Config!$E$2:$F$12, 2, FALSE)-1)</f>
        <v>60</v>
      </c>
      <c r="S27" s="71">
        <f t="shared" si="0"/>
        <v>20060213</v>
      </c>
      <c r="T27" s="71">
        <f t="shared" si="1"/>
        <v>31</v>
      </c>
    </row>
    <row r="28" spans="1:20" ht="17" customHeight="1" x14ac:dyDescent="0.35">
      <c r="A28" s="70" t="s">
        <v>39</v>
      </c>
      <c r="B28" s="70">
        <v>50</v>
      </c>
      <c r="C28" s="70">
        <v>30</v>
      </c>
      <c r="D28" s="70">
        <v>40</v>
      </c>
      <c r="E28" s="70">
        <v>50</v>
      </c>
      <c r="F28" s="70">
        <v>30</v>
      </c>
      <c r="G28" s="70">
        <v>60</v>
      </c>
      <c r="H28" s="70">
        <v>20</v>
      </c>
      <c r="I28" s="71">
        <v>11</v>
      </c>
      <c r="J28" s="71">
        <v>5</v>
      </c>
      <c r="K28" s="71">
        <v>13</v>
      </c>
      <c r="L28" s="71">
        <v>19</v>
      </c>
      <c r="M28" s="70">
        <f>SUMPRODUCT(Table2[[#This Row],[Physical]:[Beasthood]],Utility!$H$9:$R$9)</f>
        <v>182.4</v>
      </c>
      <c r="N28" s="70">
        <f>SUM(Table2[[#This Row],[Physical]:[Frenzy]])</f>
        <v>309</v>
      </c>
      <c r="O28" s="71">
        <f>RANK(Table2[[#This Row],[TOTAL]],Table2[TOTAL])</f>
        <v>17</v>
      </c>
      <c r="P28" s="71">
        <f>RANK(O28,$O$2:$O$100,1)+COUNTIF($O$1:O27,O28)</f>
        <v>18</v>
      </c>
      <c r="Q28" s="71" cm="1">
        <f t="array" ref="Q28">INDEX($B28:$L28, 1, VLOOKUP(Config!$B$2, Config!$E$2:$F$12, 2, FALSE)-1)</f>
        <v>60</v>
      </c>
      <c r="R28" s="71" cm="1">
        <f t="array" ref="R28">INDEX($B28:$L28, 1, VLOOKUP(Config!$B$3, Config!$E$2:$F$12, 2, FALSE)-1)</f>
        <v>50</v>
      </c>
      <c r="S28" s="71">
        <f t="shared" si="0"/>
        <v>60050309</v>
      </c>
      <c r="T28" s="71">
        <f t="shared" si="1"/>
        <v>3</v>
      </c>
    </row>
    <row r="29" spans="1:20" ht="17" customHeight="1" x14ac:dyDescent="0.35">
      <c r="A29" s="70" t="s">
        <v>40</v>
      </c>
      <c r="B29" s="70">
        <v>30</v>
      </c>
      <c r="C29" s="70">
        <v>60</v>
      </c>
      <c r="D29" s="70">
        <v>40</v>
      </c>
      <c r="E29" s="70">
        <v>30</v>
      </c>
      <c r="F29" s="70">
        <v>30</v>
      </c>
      <c r="G29" s="70">
        <v>20</v>
      </c>
      <c r="H29" s="70">
        <v>40</v>
      </c>
      <c r="I29" s="71">
        <v>8</v>
      </c>
      <c r="J29" s="71">
        <v>5</v>
      </c>
      <c r="K29" s="71">
        <v>17</v>
      </c>
      <c r="L29" s="71">
        <v>13</v>
      </c>
      <c r="M29" s="70">
        <f>SUMPRODUCT(Table2[[#This Row],[Physical]:[Beasthood]],Utility!$H$9:$R$9)</f>
        <v>160.4</v>
      </c>
      <c r="N29" s="70">
        <f>SUM(Table2[[#This Row],[Physical]:[Frenzy]])</f>
        <v>280</v>
      </c>
      <c r="O29" s="71">
        <f>RANK(Table2[[#This Row],[TOTAL]],Table2[TOTAL])</f>
        <v>25</v>
      </c>
      <c r="P29" s="71">
        <f>RANK(O29,$O$2:$O$100,1)+COUNTIF($O$1:O28,O29)</f>
        <v>25</v>
      </c>
      <c r="Q29" s="71" cm="1">
        <f t="array" ref="Q29">INDEX($B29:$L29, 1, VLOOKUP(Config!$B$2, Config!$E$2:$F$12, 2, FALSE)-1)</f>
        <v>20</v>
      </c>
      <c r="R29" s="71" cm="1">
        <f t="array" ref="R29">INDEX($B29:$L29, 1, VLOOKUP(Config!$B$3, Config!$E$2:$F$12, 2, FALSE)-1)</f>
        <v>30</v>
      </c>
      <c r="S29" s="71">
        <f t="shared" si="0"/>
        <v>20030280</v>
      </c>
      <c r="T29" s="71">
        <f t="shared" si="1"/>
        <v>33</v>
      </c>
    </row>
    <row r="30" spans="1:20" ht="17" customHeight="1" x14ac:dyDescent="0.35">
      <c r="A30" s="70" t="s">
        <v>41</v>
      </c>
      <c r="B30" s="70">
        <v>20</v>
      </c>
      <c r="C30" s="70">
        <v>20</v>
      </c>
      <c r="D30" s="70">
        <v>20</v>
      </c>
      <c r="E30" s="70">
        <v>10</v>
      </c>
      <c r="F30" s="70">
        <v>20</v>
      </c>
      <c r="G30" s="70">
        <v>60</v>
      </c>
      <c r="H30" s="70">
        <v>30</v>
      </c>
      <c r="I30" s="71">
        <v>8</v>
      </c>
      <c r="J30" s="71">
        <v>11</v>
      </c>
      <c r="K30" s="71">
        <v>13</v>
      </c>
      <c r="L30" s="71">
        <v>8</v>
      </c>
      <c r="M30" s="70">
        <f>SUMPRODUCT(Table2[[#This Row],[Physical]:[Beasthood]],Utility!$H$9:$R$9)</f>
        <v>111.2</v>
      </c>
      <c r="N30" s="70">
        <f>SUM(Table2[[#This Row],[Physical]:[Frenzy]])</f>
        <v>212</v>
      </c>
      <c r="O30" s="71">
        <f>RANK(Table2[[#This Row],[TOTAL]],Table2[TOTAL])</f>
        <v>32</v>
      </c>
      <c r="P30" s="71">
        <f>RANK(O30,$O$2:$O$100,1)+COUNTIF($O$1:O29,O30)</f>
        <v>32</v>
      </c>
      <c r="Q30" s="71" cm="1">
        <f t="array" ref="Q30">INDEX($B30:$L30, 1, VLOOKUP(Config!$B$2, Config!$E$2:$F$12, 2, FALSE)-1)</f>
        <v>60</v>
      </c>
      <c r="R30" s="71" cm="1">
        <f t="array" ref="R30">INDEX($B30:$L30, 1, VLOOKUP(Config!$B$3, Config!$E$2:$F$12, 2, FALSE)-1)</f>
        <v>20</v>
      </c>
      <c r="S30" s="71">
        <f t="shared" si="0"/>
        <v>60020212</v>
      </c>
      <c r="T30" s="71">
        <f t="shared" si="1"/>
        <v>5</v>
      </c>
    </row>
    <row r="31" spans="1:20" ht="17" customHeight="1" x14ac:dyDescent="0.35">
      <c r="A31" s="70" t="s">
        <v>42</v>
      </c>
      <c r="B31" s="70">
        <v>40</v>
      </c>
      <c r="C31" s="70">
        <v>40</v>
      </c>
      <c r="D31" s="70">
        <v>50</v>
      </c>
      <c r="E31" s="70">
        <v>50</v>
      </c>
      <c r="F31" s="70">
        <v>60</v>
      </c>
      <c r="G31" s="70">
        <v>50</v>
      </c>
      <c r="H31" s="70">
        <v>50</v>
      </c>
      <c r="I31" s="71">
        <v>18</v>
      </c>
      <c r="J31" s="71">
        <v>16</v>
      </c>
      <c r="K31" s="71">
        <v>4</v>
      </c>
      <c r="L31" s="71">
        <v>15</v>
      </c>
      <c r="M31" s="70">
        <f>SUMPRODUCT(Table2[[#This Row],[Physical]:[Beasthood]],Utility!$H$9:$R$9)</f>
        <v>208.5</v>
      </c>
      <c r="N31" s="70">
        <f>SUM(Table2[[#This Row],[Physical]:[Frenzy]])</f>
        <v>378</v>
      </c>
      <c r="O31" s="71">
        <f>RANK(Table2[[#This Row],[TOTAL]],Table2[TOTAL])</f>
        <v>3</v>
      </c>
      <c r="P31" s="71">
        <f>RANK(O31,$O$2:$O$100,1)+COUNTIF($O$1:O30,O31)</f>
        <v>3</v>
      </c>
      <c r="Q31" s="71" cm="1">
        <f t="array" ref="Q31">INDEX($B31:$L31, 1, VLOOKUP(Config!$B$2, Config!$E$2:$F$12, 2, FALSE)-1)</f>
        <v>50</v>
      </c>
      <c r="R31" s="71" cm="1">
        <f t="array" ref="R31">INDEX($B31:$L31, 1, VLOOKUP(Config!$B$3, Config!$E$2:$F$12, 2, FALSE)-1)</f>
        <v>40</v>
      </c>
      <c r="S31" s="71">
        <f t="shared" si="0"/>
        <v>50040378</v>
      </c>
      <c r="T31" s="71">
        <f t="shared" si="1"/>
        <v>10</v>
      </c>
    </row>
    <row r="32" spans="1:20" ht="17" customHeight="1" x14ac:dyDescent="0.35">
      <c r="A32" s="70" t="s">
        <v>43</v>
      </c>
      <c r="B32" s="70">
        <v>30</v>
      </c>
      <c r="C32" s="70">
        <v>70</v>
      </c>
      <c r="D32" s="70">
        <v>40</v>
      </c>
      <c r="E32" s="70">
        <v>20</v>
      </c>
      <c r="F32" s="70">
        <v>20</v>
      </c>
      <c r="G32" s="70">
        <v>30</v>
      </c>
      <c r="H32" s="70">
        <v>40</v>
      </c>
      <c r="I32" s="71">
        <v>14</v>
      </c>
      <c r="J32" s="71">
        <v>13</v>
      </c>
      <c r="K32" s="71">
        <v>10</v>
      </c>
      <c r="L32" s="71">
        <v>8</v>
      </c>
      <c r="M32" s="70">
        <f>SUMPRODUCT(Table2[[#This Row],[Physical]:[Beasthood]],Utility!$H$9:$R$9)</f>
        <v>164.4</v>
      </c>
      <c r="N32" s="70">
        <f>SUM(Table2[[#This Row],[Physical]:[Frenzy]])</f>
        <v>287</v>
      </c>
      <c r="O32" s="71">
        <f>RANK(Table2[[#This Row],[TOTAL]],Table2[TOTAL])</f>
        <v>24</v>
      </c>
      <c r="P32" s="71">
        <f>RANK(O32,$O$2:$O$100,1)+COUNTIF($O$1:O31,O32)</f>
        <v>24</v>
      </c>
      <c r="Q32" s="71" cm="1">
        <f t="array" ref="Q32">INDEX($B32:$L32, 1, VLOOKUP(Config!$B$2, Config!$E$2:$F$12, 2, FALSE)-1)</f>
        <v>30</v>
      </c>
      <c r="R32" s="71" cm="1">
        <f t="array" ref="R32">INDEX($B32:$L32, 1, VLOOKUP(Config!$B$3, Config!$E$2:$F$12, 2, FALSE)-1)</f>
        <v>30</v>
      </c>
      <c r="S32" s="71">
        <f t="shared" si="0"/>
        <v>30030287</v>
      </c>
      <c r="T32" s="71">
        <f t="shared" si="1"/>
        <v>27</v>
      </c>
    </row>
    <row r="33" spans="1:20" ht="17" customHeight="1" x14ac:dyDescent="0.35">
      <c r="A33" s="70" t="s">
        <v>44</v>
      </c>
      <c r="B33" s="70">
        <v>30</v>
      </c>
      <c r="C33" s="70">
        <v>40</v>
      </c>
      <c r="D33" s="70">
        <v>40</v>
      </c>
      <c r="E33" s="70">
        <v>60</v>
      </c>
      <c r="F33" s="70">
        <v>60</v>
      </c>
      <c r="G33" s="70">
        <v>60</v>
      </c>
      <c r="H33" s="70">
        <v>60</v>
      </c>
      <c r="I33" s="71">
        <v>21</v>
      </c>
      <c r="J33" s="71">
        <v>18</v>
      </c>
      <c r="K33" s="71">
        <v>3</v>
      </c>
      <c r="L33" s="71">
        <v>12</v>
      </c>
      <c r="M33" s="70">
        <f>SUMPRODUCT(Table2[[#This Row],[Physical]:[Beasthood]],Utility!$H$9:$R$9)</f>
        <v>204.4</v>
      </c>
      <c r="N33" s="70">
        <f>SUM(Table2[[#This Row],[Physical]:[Frenzy]])</f>
        <v>392</v>
      </c>
      <c r="O33" s="71">
        <f>RANK(Table2[[#This Row],[TOTAL]],Table2[TOTAL])</f>
        <v>4</v>
      </c>
      <c r="P33" s="71">
        <f>RANK(O33,$O$2:$O$100,1)+COUNTIF($O$1:O32,O33)</f>
        <v>4</v>
      </c>
      <c r="Q33" s="71" cm="1">
        <f t="array" ref="Q33">INDEX($B33:$L33, 1, VLOOKUP(Config!$B$2, Config!$E$2:$F$12, 2, FALSE)-1)</f>
        <v>60</v>
      </c>
      <c r="R33" s="71" cm="1">
        <f t="array" ref="R33">INDEX($B33:$L33, 1, VLOOKUP(Config!$B$3, Config!$E$2:$F$12, 2, FALSE)-1)</f>
        <v>30</v>
      </c>
      <c r="S33" s="71">
        <f t="shared" si="0"/>
        <v>60030392</v>
      </c>
      <c r="T33" s="71">
        <f t="shared" si="1"/>
        <v>4</v>
      </c>
    </row>
    <row r="34" spans="1:20" ht="17" customHeight="1" x14ac:dyDescent="0.35">
      <c r="A34" s="70" t="s">
        <v>45</v>
      </c>
      <c r="B34" s="70">
        <v>50</v>
      </c>
      <c r="C34" s="70">
        <v>30</v>
      </c>
      <c r="D34" s="70">
        <v>40</v>
      </c>
      <c r="E34" s="70">
        <v>50</v>
      </c>
      <c r="F34" s="70">
        <v>30</v>
      </c>
      <c r="G34" s="70">
        <v>60</v>
      </c>
      <c r="H34" s="70">
        <v>20</v>
      </c>
      <c r="I34" s="71">
        <v>5</v>
      </c>
      <c r="J34" s="71">
        <v>11</v>
      </c>
      <c r="K34" s="71">
        <v>19</v>
      </c>
      <c r="L34" s="71">
        <v>13</v>
      </c>
      <c r="M34" s="70">
        <f>SUMPRODUCT(Table2[[#This Row],[Physical]:[Beasthood]],Utility!$H$9:$R$9)</f>
        <v>182.4</v>
      </c>
      <c r="N34" s="70">
        <f>SUM(Table2[[#This Row],[Physical]:[Frenzy]])</f>
        <v>315</v>
      </c>
      <c r="O34" s="71">
        <f>RANK(Table2[[#This Row],[TOTAL]],Table2[TOTAL])</f>
        <v>17</v>
      </c>
      <c r="P34" s="71">
        <f>RANK(O34,$O$2:$O$100,1)+COUNTIF($O$1:O33,O34)</f>
        <v>19</v>
      </c>
      <c r="Q34" s="71" cm="1">
        <f t="array" ref="Q34">INDEX($B34:$L34, 1, VLOOKUP(Config!$B$2, Config!$E$2:$F$12, 2, FALSE)-1)</f>
        <v>60</v>
      </c>
      <c r="R34" s="71" cm="1">
        <f t="array" ref="R34">INDEX($B34:$L34, 1, VLOOKUP(Config!$B$3, Config!$E$2:$F$12, 2, FALSE)-1)</f>
        <v>50</v>
      </c>
      <c r="S34" s="71">
        <f t="shared" si="0"/>
        <v>60050315</v>
      </c>
      <c r="T34" s="71">
        <f t="shared" si="1"/>
        <v>2</v>
      </c>
    </row>
    <row r="35" spans="1:20" ht="17" customHeight="1" x14ac:dyDescent="0.35">
      <c r="A35" s="72" t="s">
        <v>46</v>
      </c>
      <c r="B35" s="72">
        <v>50</v>
      </c>
      <c r="C35" s="72">
        <v>40</v>
      </c>
      <c r="D35" s="72">
        <v>40</v>
      </c>
      <c r="E35" s="72">
        <v>40</v>
      </c>
      <c r="F35" s="72">
        <v>50</v>
      </c>
      <c r="G35" s="72">
        <v>50</v>
      </c>
      <c r="H35" s="72">
        <v>50</v>
      </c>
      <c r="I35" s="73">
        <v>16</v>
      </c>
      <c r="J35" s="73">
        <v>13</v>
      </c>
      <c r="K35" s="73">
        <v>14</v>
      </c>
      <c r="L35" s="73">
        <v>16</v>
      </c>
      <c r="M35" s="72">
        <f>SUMPRODUCT(Table2[[#This Row],[Physical]:[Beasthood]],Utility!$H$9:$R$9)</f>
        <v>201.4</v>
      </c>
      <c r="N35" s="72">
        <f>SUM(Table2[[#This Row],[Physical]:[Frenzy]])</f>
        <v>363</v>
      </c>
      <c r="O35" s="73">
        <f>RANK(Table2[[#This Row],[TOTAL]],Table2[TOTAL])</f>
        <v>5</v>
      </c>
      <c r="P35" s="73">
        <f>RANK(O35,$O$2:$O$100,1)+COUNTIF($O$1:O34,O35)</f>
        <v>6</v>
      </c>
      <c r="Q35" s="73" cm="1">
        <f t="array" ref="Q35">INDEX($B35:$L35, 1, VLOOKUP(Config!$B$2, Config!$E$2:$F$12, 2, FALSE)-1)</f>
        <v>50</v>
      </c>
      <c r="R35" s="73" cm="1">
        <f t="array" ref="R35">INDEX($B35:$L35, 1, VLOOKUP(Config!$B$3, Config!$E$2:$F$12, 2, FALSE)-1)</f>
        <v>50</v>
      </c>
      <c r="S35" s="73">
        <f t="shared" si="0"/>
        <v>50050363</v>
      </c>
      <c r="T35" s="73">
        <f t="shared" si="1"/>
        <v>7</v>
      </c>
    </row>
  </sheetData>
  <conditionalFormatting sqref="B2:L35">
    <cfRule type="colorScale" priority="2">
      <colorScale>
        <cfvo type="min"/>
        <cfvo type="percentile" val="50"/>
        <cfvo type="max"/>
        <color rgb="FFF8696B"/>
        <color rgb="FFFFEB84"/>
        <color rgb="FF63BE7B"/>
      </colorScale>
    </cfRule>
  </conditionalFormatting>
  <conditionalFormatting sqref="M2:M3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48B93-2774-4EDF-A94D-414F50EFA40C}">
  <sheetPr codeName="Sheet4"/>
  <dimension ref="A1:T35"/>
  <sheetViews>
    <sheetView workbookViewId="0">
      <selection activeCell="C42" sqref="C42"/>
    </sheetView>
  </sheetViews>
  <sheetFormatPr defaultRowHeight="14.5" x14ac:dyDescent="0.35"/>
  <cols>
    <col min="1" max="1" width="25.7265625" customWidth="1"/>
    <col min="2" max="2" width="9.36328125" customWidth="1"/>
    <col min="12" max="12" width="11.26953125" customWidth="1"/>
  </cols>
  <sheetData>
    <row r="1" spans="1:20" ht="17" customHeight="1" x14ac:dyDescent="0.35">
      <c r="A1" s="7" t="s">
        <v>141</v>
      </c>
      <c r="B1" t="s">
        <v>0</v>
      </c>
      <c r="C1" t="s">
        <v>1</v>
      </c>
      <c r="D1" t="s">
        <v>2</v>
      </c>
      <c r="E1" t="s">
        <v>3</v>
      </c>
      <c r="F1" t="s">
        <v>4</v>
      </c>
      <c r="G1" t="s">
        <v>5</v>
      </c>
      <c r="H1" t="s">
        <v>6</v>
      </c>
      <c r="I1" t="s">
        <v>7</v>
      </c>
      <c r="J1" t="s">
        <v>8</v>
      </c>
      <c r="K1" t="s">
        <v>9</v>
      </c>
      <c r="L1" t="s">
        <v>10</v>
      </c>
      <c r="M1" t="s">
        <v>47</v>
      </c>
      <c r="N1" t="s">
        <v>145</v>
      </c>
      <c r="O1" s="7" t="s">
        <v>144</v>
      </c>
      <c r="P1" t="s">
        <v>153</v>
      </c>
      <c r="Q1" s="7" t="s">
        <v>180</v>
      </c>
      <c r="R1" s="7" t="s">
        <v>181</v>
      </c>
      <c r="S1" s="7" t="s">
        <v>182</v>
      </c>
      <c r="T1" s="7" t="s">
        <v>183</v>
      </c>
    </row>
    <row r="2" spans="1:20" ht="17" customHeight="1" x14ac:dyDescent="0.35">
      <c r="A2" s="10" t="s">
        <v>48</v>
      </c>
      <c r="B2" s="10">
        <v>100</v>
      </c>
      <c r="C2" s="10">
        <v>110</v>
      </c>
      <c r="D2" s="10">
        <v>80</v>
      </c>
      <c r="E2" s="10">
        <v>110</v>
      </c>
      <c r="F2" s="10">
        <v>70</v>
      </c>
      <c r="G2" s="10">
        <v>50</v>
      </c>
      <c r="H2" s="10">
        <v>70</v>
      </c>
      <c r="I2" s="10">
        <v>25</v>
      </c>
      <c r="J2" s="10">
        <v>45</v>
      </c>
      <c r="K2" s="10">
        <v>60</v>
      </c>
      <c r="L2" s="10">
        <v>70</v>
      </c>
      <c r="M2" s="10">
        <f>SUMPRODUCT(Table3[[#This Row],[Physical]:[Beasthood]],Utility!$H$9:$R$9)</f>
        <v>381.8</v>
      </c>
      <c r="N2" s="10">
        <f>SUM(Table3[[#This Row],[Physical]:[Frenzy]])</f>
        <v>720</v>
      </c>
      <c r="O2" s="10">
        <f>RANK(Table3[[#This Row],[TOTAL]],Table3[TOTAL])</f>
        <v>18</v>
      </c>
      <c r="P2" s="10">
        <f>RANK(O2,$O$2:$O$100,1)+COUNTIF($O$1:O1,O2)</f>
        <v>18</v>
      </c>
      <c r="Q2" s="74" cm="1">
        <f t="array" ref="Q2">INDEX($B2:$L2, 1, VLOOKUP(Config!$B$2, Config!$E$2:$F$12, 2, FALSE)-1)</f>
        <v>50</v>
      </c>
      <c r="R2" s="74" cm="1">
        <f t="array" ref="R2">INDEX($B2:$L2, 1, VLOOKUP(Config!$B$3, Config!$E$2:$F$12, 2, FALSE)-1)</f>
        <v>100</v>
      </c>
      <c r="S2" s="7">
        <f t="shared" ref="S2:S35" si="0">Q2*1000000 + R2*1000 + N2</f>
        <v>50100720</v>
      </c>
      <c r="T2" s="7">
        <f t="shared" ref="T2:T35" si="1">RANK(S2, $S$2:$S$100, 0)</f>
        <v>29</v>
      </c>
    </row>
    <row r="3" spans="1:20" ht="17" customHeight="1" x14ac:dyDescent="0.35">
      <c r="A3" s="75" t="s">
        <v>49</v>
      </c>
      <c r="B3" s="75">
        <v>120</v>
      </c>
      <c r="C3" s="75">
        <v>120</v>
      </c>
      <c r="D3" s="75">
        <v>70</v>
      </c>
      <c r="E3" s="75">
        <v>80</v>
      </c>
      <c r="F3" s="75">
        <v>60</v>
      </c>
      <c r="G3" s="75">
        <v>40</v>
      </c>
      <c r="H3" s="75">
        <v>50</v>
      </c>
      <c r="I3" s="75">
        <v>38</v>
      </c>
      <c r="J3" s="75">
        <v>31</v>
      </c>
      <c r="K3" s="75">
        <v>20</v>
      </c>
      <c r="L3" s="75">
        <v>66</v>
      </c>
      <c r="M3" s="75">
        <f>SUMPRODUCT(Table3[[#This Row],[Physical]:[Beasthood]],Utility!$H$9:$R$9)</f>
        <v>372.7</v>
      </c>
      <c r="N3" s="75">
        <f>SUM(Table3[[#This Row],[Physical]:[Frenzy]])</f>
        <v>629</v>
      </c>
      <c r="O3" s="75">
        <f>RANK(Table3[[#This Row],[TOTAL]],Table3[TOTAL])</f>
        <v>22</v>
      </c>
      <c r="P3" s="75">
        <f>RANK(O3,$O$2:$O$100,1)+COUNTIF($O$1:O2,O3)</f>
        <v>22</v>
      </c>
      <c r="Q3" s="75" cm="1">
        <f t="array" ref="Q3">INDEX($B3:$L3, 1, VLOOKUP(Config!$B$2, Config!$E$2:$F$12, 2, FALSE)-1)</f>
        <v>40</v>
      </c>
      <c r="R3" s="75" cm="1">
        <f t="array" ref="R3">INDEX($B3:$L3, 1, VLOOKUP(Config!$B$3, Config!$E$2:$F$12, 2, FALSE)-1)</f>
        <v>120</v>
      </c>
      <c r="S3" s="75">
        <f t="shared" si="0"/>
        <v>40120629</v>
      </c>
      <c r="T3" s="75">
        <f t="shared" si="1"/>
        <v>32</v>
      </c>
    </row>
    <row r="4" spans="1:20" ht="17" customHeight="1" x14ac:dyDescent="0.35">
      <c r="A4" s="75" t="s">
        <v>50</v>
      </c>
      <c r="B4" s="75">
        <v>90</v>
      </c>
      <c r="C4" s="75">
        <v>90</v>
      </c>
      <c r="D4" s="75">
        <v>110</v>
      </c>
      <c r="E4" s="75">
        <v>110</v>
      </c>
      <c r="F4" s="75">
        <v>110</v>
      </c>
      <c r="G4" s="75">
        <v>100</v>
      </c>
      <c r="H4" s="75">
        <v>110</v>
      </c>
      <c r="I4" s="75">
        <v>60</v>
      </c>
      <c r="J4" s="75">
        <v>58</v>
      </c>
      <c r="K4" s="75">
        <v>9</v>
      </c>
      <c r="L4" s="75">
        <v>40</v>
      </c>
      <c r="M4" s="75">
        <f>SUMPRODUCT(Table3[[#This Row],[Physical]:[Beasthood]],Utility!$H$9:$R$9)</f>
        <v>443.1</v>
      </c>
      <c r="N4" s="75">
        <f>SUM(Table3[[#This Row],[Physical]:[Frenzy]])</f>
        <v>847</v>
      </c>
      <c r="O4" s="75">
        <f>RANK(Table3[[#This Row],[TOTAL]],Table3[TOTAL])</f>
        <v>2</v>
      </c>
      <c r="P4" s="75">
        <f>RANK(O4,$O$2:$O$100,1)+COUNTIF($O$1:O3,O4)</f>
        <v>2</v>
      </c>
      <c r="Q4" s="75" cm="1">
        <f t="array" ref="Q4">INDEX($B4:$L4, 1, VLOOKUP(Config!$B$2, Config!$E$2:$F$12, 2, FALSE)-1)</f>
        <v>100</v>
      </c>
      <c r="R4" s="75" cm="1">
        <f t="array" ref="R4">INDEX($B4:$L4, 1, VLOOKUP(Config!$B$3, Config!$E$2:$F$12, 2, FALSE)-1)</f>
        <v>90</v>
      </c>
      <c r="S4" s="75">
        <f t="shared" si="0"/>
        <v>100090847</v>
      </c>
      <c r="T4" s="75">
        <f t="shared" si="1"/>
        <v>14</v>
      </c>
    </row>
    <row r="5" spans="1:20" ht="17" customHeight="1" x14ac:dyDescent="0.35">
      <c r="A5" s="75" t="s">
        <v>51</v>
      </c>
      <c r="B5" s="75">
        <v>110</v>
      </c>
      <c r="C5" s="75">
        <v>80</v>
      </c>
      <c r="D5" s="75">
        <v>100</v>
      </c>
      <c r="E5" s="75">
        <v>40</v>
      </c>
      <c r="F5" s="75">
        <v>40</v>
      </c>
      <c r="G5" s="75">
        <v>140</v>
      </c>
      <c r="H5" s="75">
        <v>140</v>
      </c>
      <c r="I5" s="75">
        <v>33</v>
      </c>
      <c r="J5" s="75">
        <v>29</v>
      </c>
      <c r="K5" s="75">
        <v>41</v>
      </c>
      <c r="L5" s="75">
        <v>25</v>
      </c>
      <c r="M5" s="75">
        <f>SUMPRODUCT(Table3[[#This Row],[Physical]:[Beasthood]],Utility!$H$9:$R$9)</f>
        <v>411</v>
      </c>
      <c r="N5" s="75">
        <f>SUM(Table3[[#This Row],[Physical]:[Frenzy]])</f>
        <v>753</v>
      </c>
      <c r="O5" s="75">
        <f>RANK(Table3[[#This Row],[TOTAL]],Table3[TOTAL])</f>
        <v>10</v>
      </c>
      <c r="P5" s="75">
        <f>RANK(O5,$O$2:$O$100,1)+COUNTIF($O$1:O4,O5)</f>
        <v>10</v>
      </c>
      <c r="Q5" s="75" cm="1">
        <f t="array" ref="Q5">INDEX($B5:$L5, 1, VLOOKUP(Config!$B$2, Config!$E$2:$F$12, 2, FALSE)-1)</f>
        <v>140</v>
      </c>
      <c r="R5" s="75" cm="1">
        <f t="array" ref="R5">INDEX($B5:$L5, 1, VLOOKUP(Config!$B$3, Config!$E$2:$F$12, 2, FALSE)-1)</f>
        <v>110</v>
      </c>
      <c r="S5" s="75">
        <f t="shared" si="0"/>
        <v>140110753</v>
      </c>
      <c r="T5" s="75">
        <f t="shared" si="1"/>
        <v>1</v>
      </c>
    </row>
    <row r="6" spans="1:20" ht="17" customHeight="1" x14ac:dyDescent="0.35">
      <c r="A6" s="75" t="s">
        <v>52</v>
      </c>
      <c r="B6" s="75">
        <v>100</v>
      </c>
      <c r="C6" s="75">
        <v>60</v>
      </c>
      <c r="D6" s="75">
        <v>100</v>
      </c>
      <c r="E6" s="75">
        <v>60</v>
      </c>
      <c r="F6" s="75">
        <v>90</v>
      </c>
      <c r="G6" s="75">
        <v>70</v>
      </c>
      <c r="H6" s="75">
        <v>110</v>
      </c>
      <c r="I6" s="75">
        <v>53</v>
      </c>
      <c r="J6" s="75">
        <v>59</v>
      </c>
      <c r="K6" s="75">
        <v>33</v>
      </c>
      <c r="L6" s="75">
        <v>29</v>
      </c>
      <c r="M6" s="75">
        <f>SUMPRODUCT(Table3[[#This Row],[Physical]:[Beasthood]],Utility!$H$9:$R$9)</f>
        <v>372</v>
      </c>
      <c r="N6" s="75">
        <f>SUM(Table3[[#This Row],[Physical]:[Frenzy]])</f>
        <v>735</v>
      </c>
      <c r="O6" s="75">
        <f>RANK(Table3[[#This Row],[TOTAL]],Table3[TOTAL])</f>
        <v>23</v>
      </c>
      <c r="P6" s="75">
        <f>RANK(O6,$O$2:$O$100,1)+COUNTIF($O$1:O5,O6)</f>
        <v>23</v>
      </c>
      <c r="Q6" s="75" cm="1">
        <f t="array" ref="Q6">INDEX($B6:$L6, 1, VLOOKUP(Config!$B$2, Config!$E$2:$F$12, 2, FALSE)-1)</f>
        <v>70</v>
      </c>
      <c r="R6" s="75" cm="1">
        <f t="array" ref="R6">INDEX($B6:$L6, 1, VLOOKUP(Config!$B$3, Config!$E$2:$F$12, 2, FALSE)-1)</f>
        <v>100</v>
      </c>
      <c r="S6" s="75">
        <f t="shared" si="0"/>
        <v>70100735</v>
      </c>
      <c r="T6" s="75">
        <f t="shared" si="1"/>
        <v>24</v>
      </c>
    </row>
    <row r="7" spans="1:20" ht="17" customHeight="1" x14ac:dyDescent="0.35">
      <c r="A7" s="75" t="s">
        <v>53</v>
      </c>
      <c r="B7" s="75">
        <v>120</v>
      </c>
      <c r="C7" s="75">
        <v>70</v>
      </c>
      <c r="D7" s="75">
        <v>110</v>
      </c>
      <c r="E7" s="75">
        <v>120</v>
      </c>
      <c r="F7" s="75">
        <v>40</v>
      </c>
      <c r="G7" s="75">
        <v>80</v>
      </c>
      <c r="H7" s="75">
        <v>30</v>
      </c>
      <c r="I7" s="75">
        <v>36</v>
      </c>
      <c r="J7" s="75">
        <v>40</v>
      </c>
      <c r="K7" s="75">
        <v>26</v>
      </c>
      <c r="L7" s="75">
        <v>22</v>
      </c>
      <c r="M7" s="75">
        <f>SUMPRODUCT(Table3[[#This Row],[Physical]:[Beasthood]],Utility!$H$9:$R$9)</f>
        <v>383.1</v>
      </c>
      <c r="N7" s="75">
        <f>SUM(Table3[[#This Row],[Physical]:[Frenzy]])</f>
        <v>672</v>
      </c>
      <c r="O7" s="75">
        <f>RANK(Table3[[#This Row],[TOTAL]],Table3[TOTAL])</f>
        <v>17</v>
      </c>
      <c r="P7" s="75">
        <f>RANK(O7,$O$2:$O$100,1)+COUNTIF($O$1:O6,O7)</f>
        <v>17</v>
      </c>
      <c r="Q7" s="75" cm="1">
        <f t="array" ref="Q7">INDEX($B7:$L7, 1, VLOOKUP(Config!$B$2, Config!$E$2:$F$12, 2, FALSE)-1)</f>
        <v>80</v>
      </c>
      <c r="R7" s="75" cm="1">
        <f t="array" ref="R7">INDEX($B7:$L7, 1, VLOOKUP(Config!$B$3, Config!$E$2:$F$12, 2, FALSE)-1)</f>
        <v>120</v>
      </c>
      <c r="S7" s="75">
        <f t="shared" si="0"/>
        <v>80120672</v>
      </c>
      <c r="T7" s="75">
        <f t="shared" si="1"/>
        <v>20</v>
      </c>
    </row>
    <row r="8" spans="1:20" ht="17" customHeight="1" x14ac:dyDescent="0.35">
      <c r="A8" s="75" t="s">
        <v>54</v>
      </c>
      <c r="B8" s="75">
        <v>110</v>
      </c>
      <c r="C8" s="75">
        <v>100</v>
      </c>
      <c r="D8" s="75">
        <v>70</v>
      </c>
      <c r="E8" s="75">
        <v>100</v>
      </c>
      <c r="F8" s="75">
        <v>40</v>
      </c>
      <c r="G8" s="75">
        <v>140</v>
      </c>
      <c r="H8" s="75">
        <v>60</v>
      </c>
      <c r="I8" s="75">
        <v>29</v>
      </c>
      <c r="J8" s="75">
        <v>37</v>
      </c>
      <c r="K8" s="75">
        <v>45</v>
      </c>
      <c r="L8" s="75">
        <v>58</v>
      </c>
      <c r="M8" s="75">
        <f>SUMPRODUCT(Table3[[#This Row],[Physical]:[Beasthood]],Utility!$H$9:$R$9)</f>
        <v>405.7</v>
      </c>
      <c r="N8" s="75">
        <f>SUM(Table3[[#This Row],[Physical]:[Frenzy]])</f>
        <v>731</v>
      </c>
      <c r="O8" s="75">
        <f>RANK(Table3[[#This Row],[TOTAL]],Table3[TOTAL])</f>
        <v>13</v>
      </c>
      <c r="P8" s="75">
        <f>RANK(O8,$O$2:$O$100,1)+COUNTIF($O$1:O7,O8)</f>
        <v>13</v>
      </c>
      <c r="Q8" s="75" cm="1">
        <f t="array" ref="Q8">INDEX($B8:$L8, 1, VLOOKUP(Config!$B$2, Config!$E$2:$F$12, 2, FALSE)-1)</f>
        <v>140</v>
      </c>
      <c r="R8" s="75" cm="1">
        <f t="array" ref="R8">INDEX($B8:$L8, 1, VLOOKUP(Config!$B$3, Config!$E$2:$F$12, 2, FALSE)-1)</f>
        <v>110</v>
      </c>
      <c r="S8" s="75">
        <f t="shared" si="0"/>
        <v>140110731</v>
      </c>
      <c r="T8" s="75">
        <f t="shared" si="1"/>
        <v>2</v>
      </c>
    </row>
    <row r="9" spans="1:20" ht="17" customHeight="1" x14ac:dyDescent="0.35">
      <c r="A9" s="75" t="s">
        <v>55</v>
      </c>
      <c r="B9" s="75">
        <v>80</v>
      </c>
      <c r="C9" s="75">
        <v>80</v>
      </c>
      <c r="D9" s="75">
        <v>80</v>
      </c>
      <c r="E9" s="75">
        <v>80</v>
      </c>
      <c r="F9" s="75">
        <v>150</v>
      </c>
      <c r="G9" s="75">
        <v>110</v>
      </c>
      <c r="H9" s="75">
        <v>110</v>
      </c>
      <c r="I9" s="75">
        <v>46</v>
      </c>
      <c r="J9" s="75">
        <v>38</v>
      </c>
      <c r="K9" s="75">
        <v>16</v>
      </c>
      <c r="L9" s="75">
        <v>38</v>
      </c>
      <c r="M9" s="75">
        <f>SUMPRODUCT(Table3[[#This Row],[Physical]:[Beasthood]],Utility!$H$9:$R$9)</f>
        <v>421.8</v>
      </c>
      <c r="N9" s="75">
        <f>SUM(Table3[[#This Row],[Physical]:[Frenzy]])</f>
        <v>790</v>
      </c>
      <c r="O9" s="75">
        <f>RANK(Table3[[#This Row],[TOTAL]],Table3[TOTAL])</f>
        <v>7</v>
      </c>
      <c r="P9" s="75">
        <f>RANK(O9,$O$2:$O$100,1)+COUNTIF($O$1:O8,O9)</f>
        <v>7</v>
      </c>
      <c r="Q9" s="75" cm="1">
        <f t="array" ref="Q9">INDEX($B9:$L9, 1, VLOOKUP(Config!$B$2, Config!$E$2:$F$12, 2, FALSE)-1)</f>
        <v>110</v>
      </c>
      <c r="R9" s="75" cm="1">
        <f t="array" ref="R9">INDEX($B9:$L9, 1, VLOOKUP(Config!$B$3, Config!$E$2:$F$12, 2, FALSE)-1)</f>
        <v>80</v>
      </c>
      <c r="S9" s="75">
        <f t="shared" si="0"/>
        <v>110080790</v>
      </c>
      <c r="T9" s="75">
        <f t="shared" si="1"/>
        <v>10</v>
      </c>
    </row>
    <row r="10" spans="1:20" ht="17" customHeight="1" x14ac:dyDescent="0.35">
      <c r="A10" s="75" t="s">
        <v>56</v>
      </c>
      <c r="B10" s="75">
        <v>90</v>
      </c>
      <c r="C10" s="75">
        <v>100</v>
      </c>
      <c r="D10" s="75">
        <v>70</v>
      </c>
      <c r="E10" s="75">
        <v>80</v>
      </c>
      <c r="F10" s="75">
        <v>100</v>
      </c>
      <c r="G10" s="75">
        <v>110</v>
      </c>
      <c r="H10" s="75">
        <v>120</v>
      </c>
      <c r="I10" s="75">
        <v>44</v>
      </c>
      <c r="J10" s="75">
        <v>35</v>
      </c>
      <c r="K10" s="75">
        <v>23</v>
      </c>
      <c r="L10" s="75">
        <v>52</v>
      </c>
      <c r="M10" s="75">
        <f>SUMPRODUCT(Table3[[#This Row],[Physical]:[Beasthood]],Utility!$H$9:$R$9)</f>
        <v>413.7</v>
      </c>
      <c r="N10" s="75">
        <f>SUM(Table3[[#This Row],[Physical]:[Frenzy]])</f>
        <v>772</v>
      </c>
      <c r="O10" s="75">
        <f>RANK(Table3[[#This Row],[TOTAL]],Table3[TOTAL])</f>
        <v>9</v>
      </c>
      <c r="P10" s="75">
        <f>RANK(O10,$O$2:$O$100,1)+COUNTIF($O$1:O9,O10)</f>
        <v>9</v>
      </c>
      <c r="Q10" s="75" cm="1">
        <f t="array" ref="Q10">INDEX($B10:$L10, 1, VLOOKUP(Config!$B$2, Config!$E$2:$F$12, 2, FALSE)-1)</f>
        <v>110</v>
      </c>
      <c r="R10" s="75" cm="1">
        <f t="array" ref="R10">INDEX($B10:$L10, 1, VLOOKUP(Config!$B$3, Config!$E$2:$F$12, 2, FALSE)-1)</f>
        <v>90</v>
      </c>
      <c r="S10" s="75">
        <f t="shared" si="0"/>
        <v>110090772</v>
      </c>
      <c r="T10" s="75">
        <f t="shared" si="1"/>
        <v>9</v>
      </c>
    </row>
    <row r="11" spans="1:20" ht="17" customHeight="1" x14ac:dyDescent="0.35">
      <c r="A11" s="75" t="s">
        <v>57</v>
      </c>
      <c r="B11" s="75">
        <v>100</v>
      </c>
      <c r="C11" s="75">
        <v>110</v>
      </c>
      <c r="D11" s="75">
        <v>80</v>
      </c>
      <c r="E11" s="75">
        <v>120</v>
      </c>
      <c r="F11" s="75">
        <v>70</v>
      </c>
      <c r="G11" s="75">
        <v>80</v>
      </c>
      <c r="H11" s="75">
        <v>70</v>
      </c>
      <c r="I11" s="75">
        <v>29</v>
      </c>
      <c r="J11" s="75">
        <v>37</v>
      </c>
      <c r="K11" s="75">
        <v>46</v>
      </c>
      <c r="L11" s="75">
        <v>21</v>
      </c>
      <c r="M11" s="75">
        <f>SUMPRODUCT(Table3[[#This Row],[Physical]:[Beasthood]],Utility!$H$9:$R$9)</f>
        <v>403.8</v>
      </c>
      <c r="N11" s="75">
        <f>SUM(Table3[[#This Row],[Physical]:[Frenzy]])</f>
        <v>742</v>
      </c>
      <c r="O11" s="75">
        <f>RANK(Table3[[#This Row],[TOTAL]],Table3[TOTAL])</f>
        <v>14</v>
      </c>
      <c r="P11" s="75">
        <f>RANK(O11,$O$2:$O$100,1)+COUNTIF($O$1:O10,O11)</f>
        <v>14</v>
      </c>
      <c r="Q11" s="75" cm="1">
        <f t="array" ref="Q11">INDEX($B11:$L11, 1, VLOOKUP(Config!$B$2, Config!$E$2:$F$12, 2, FALSE)-1)</f>
        <v>80</v>
      </c>
      <c r="R11" s="75" cm="1">
        <f t="array" ref="R11">INDEX($B11:$L11, 1, VLOOKUP(Config!$B$3, Config!$E$2:$F$12, 2, FALSE)-1)</f>
        <v>100</v>
      </c>
      <c r="S11" s="75">
        <f t="shared" si="0"/>
        <v>80100742</v>
      </c>
      <c r="T11" s="75">
        <f t="shared" si="1"/>
        <v>21</v>
      </c>
    </row>
    <row r="12" spans="1:20" ht="17" customHeight="1" x14ac:dyDescent="0.35">
      <c r="A12" s="75" t="s">
        <v>58</v>
      </c>
      <c r="B12" s="75">
        <v>100</v>
      </c>
      <c r="C12" s="75">
        <v>70</v>
      </c>
      <c r="D12" s="75">
        <v>80</v>
      </c>
      <c r="E12" s="75">
        <v>110</v>
      </c>
      <c r="F12" s="75">
        <v>60</v>
      </c>
      <c r="G12" s="75">
        <v>120</v>
      </c>
      <c r="H12" s="75">
        <v>50</v>
      </c>
      <c r="I12" s="75">
        <v>36</v>
      </c>
      <c r="J12" s="75">
        <v>23</v>
      </c>
      <c r="K12" s="75">
        <v>38</v>
      </c>
      <c r="L12" s="75">
        <v>48</v>
      </c>
      <c r="M12" s="75">
        <f>SUMPRODUCT(Table3[[#This Row],[Physical]:[Beasthood]],Utility!$H$9:$R$9)</f>
        <v>379.8</v>
      </c>
      <c r="N12" s="75">
        <f>SUM(Table3[[#This Row],[Physical]:[Frenzy]])</f>
        <v>687</v>
      </c>
      <c r="O12" s="75">
        <f>RANK(Table3[[#This Row],[TOTAL]],Table3[TOTAL])</f>
        <v>21</v>
      </c>
      <c r="P12" s="75">
        <f>RANK(O12,$O$2:$O$100,1)+COUNTIF($O$1:O11,O12)</f>
        <v>21</v>
      </c>
      <c r="Q12" s="75" cm="1">
        <f t="array" ref="Q12">INDEX($B12:$L12, 1, VLOOKUP(Config!$B$2, Config!$E$2:$F$12, 2, FALSE)-1)</f>
        <v>120</v>
      </c>
      <c r="R12" s="75" cm="1">
        <f t="array" ref="R12">INDEX($B12:$L12, 1, VLOOKUP(Config!$B$3, Config!$E$2:$F$12, 2, FALSE)-1)</f>
        <v>100</v>
      </c>
      <c r="S12" s="75">
        <f t="shared" si="0"/>
        <v>120100687</v>
      </c>
      <c r="T12" s="75">
        <f t="shared" si="1"/>
        <v>4</v>
      </c>
    </row>
    <row r="13" spans="1:20" ht="17" customHeight="1" x14ac:dyDescent="0.35">
      <c r="A13" s="75" t="s">
        <v>59</v>
      </c>
      <c r="B13" s="75">
        <v>30</v>
      </c>
      <c r="C13" s="75">
        <v>30</v>
      </c>
      <c r="D13" s="75">
        <v>30</v>
      </c>
      <c r="E13" s="75">
        <v>40</v>
      </c>
      <c r="F13" s="75">
        <v>40</v>
      </c>
      <c r="G13" s="75">
        <v>50</v>
      </c>
      <c r="H13" s="75">
        <v>40</v>
      </c>
      <c r="I13" s="75">
        <v>42</v>
      </c>
      <c r="J13" s="75">
        <v>31</v>
      </c>
      <c r="K13" s="75">
        <v>38</v>
      </c>
      <c r="L13" s="75">
        <v>31</v>
      </c>
      <c r="M13" s="75">
        <f>SUMPRODUCT(Table3[[#This Row],[Physical]:[Beasthood]],Utility!$H$9:$R$9)</f>
        <v>157.30000000000001</v>
      </c>
      <c r="N13" s="75">
        <f>SUM(Table3[[#This Row],[Physical]:[Frenzy]])</f>
        <v>371</v>
      </c>
      <c r="O13" s="75">
        <f>RANK(Table3[[#This Row],[TOTAL]],Table3[TOTAL])</f>
        <v>34</v>
      </c>
      <c r="P13" s="75">
        <f>RANK(O13,$O$2:$O$100,1)+COUNTIF($O$1:O12,O13)</f>
        <v>34</v>
      </c>
      <c r="Q13" s="75" cm="1">
        <f t="array" ref="Q13">INDEX($B13:$L13, 1, VLOOKUP(Config!$B$2, Config!$E$2:$F$12, 2, FALSE)-1)</f>
        <v>50</v>
      </c>
      <c r="R13" s="75" cm="1">
        <f t="array" ref="R13">INDEX($B13:$L13, 1, VLOOKUP(Config!$B$3, Config!$E$2:$F$12, 2, FALSE)-1)</f>
        <v>30</v>
      </c>
      <c r="S13" s="75">
        <f t="shared" si="0"/>
        <v>50030371</v>
      </c>
      <c r="T13" s="75">
        <f t="shared" si="1"/>
        <v>31</v>
      </c>
    </row>
    <row r="14" spans="1:20" ht="17" customHeight="1" x14ac:dyDescent="0.35">
      <c r="A14" s="75" t="s">
        <v>60</v>
      </c>
      <c r="B14" s="75">
        <v>90</v>
      </c>
      <c r="C14" s="75">
        <v>120</v>
      </c>
      <c r="D14" s="75">
        <v>110</v>
      </c>
      <c r="E14" s="75">
        <v>100</v>
      </c>
      <c r="F14" s="75">
        <v>110</v>
      </c>
      <c r="G14" s="75">
        <v>90</v>
      </c>
      <c r="H14" s="75">
        <v>100</v>
      </c>
      <c r="I14" s="75">
        <v>53</v>
      </c>
      <c r="J14" s="75">
        <v>45</v>
      </c>
      <c r="K14" s="75">
        <v>17</v>
      </c>
      <c r="L14" s="75">
        <v>45</v>
      </c>
      <c r="M14" s="75">
        <f>SUMPRODUCT(Table3[[#This Row],[Physical]:[Beasthood]],Utility!$H$9:$R$9)</f>
        <v>454.1</v>
      </c>
      <c r="N14" s="75">
        <f>SUM(Table3[[#This Row],[Physical]:[Frenzy]])</f>
        <v>835</v>
      </c>
      <c r="O14" s="75">
        <f>RANK(Table3[[#This Row],[TOTAL]],Table3[TOTAL])</f>
        <v>1</v>
      </c>
      <c r="P14" s="75">
        <f>RANK(O14,$O$2:$O$100,1)+COUNTIF($O$1:O13,O14)</f>
        <v>1</v>
      </c>
      <c r="Q14" s="75" cm="1">
        <f t="array" ref="Q14">INDEX($B14:$L14, 1, VLOOKUP(Config!$B$2, Config!$E$2:$F$12, 2, FALSE)-1)</f>
        <v>90</v>
      </c>
      <c r="R14" s="75" cm="1">
        <f t="array" ref="R14">INDEX($B14:$L14, 1, VLOOKUP(Config!$B$3, Config!$E$2:$F$12, 2, FALSE)-1)</f>
        <v>90</v>
      </c>
      <c r="S14" s="75">
        <f t="shared" si="0"/>
        <v>90090835</v>
      </c>
      <c r="T14" s="75">
        <f t="shared" si="1"/>
        <v>19</v>
      </c>
    </row>
    <row r="15" spans="1:20" ht="17" customHeight="1" x14ac:dyDescent="0.35">
      <c r="A15" s="75" t="s">
        <v>61</v>
      </c>
      <c r="B15" s="75">
        <v>60</v>
      </c>
      <c r="C15" s="75">
        <v>60</v>
      </c>
      <c r="D15" s="75">
        <v>40</v>
      </c>
      <c r="E15" s="75">
        <v>50</v>
      </c>
      <c r="F15" s="75">
        <v>40</v>
      </c>
      <c r="G15" s="75">
        <v>60</v>
      </c>
      <c r="H15" s="75">
        <v>60</v>
      </c>
      <c r="I15" s="75">
        <v>27</v>
      </c>
      <c r="J15" s="75">
        <v>19</v>
      </c>
      <c r="K15" s="75">
        <v>27</v>
      </c>
      <c r="L15" s="75">
        <v>16</v>
      </c>
      <c r="M15" s="75">
        <f>SUMPRODUCT(Table3[[#This Row],[Physical]:[Beasthood]],Utility!$H$9:$R$9)</f>
        <v>234.4</v>
      </c>
      <c r="N15" s="75">
        <f>SUM(Table3[[#This Row],[Physical]:[Frenzy]])</f>
        <v>443</v>
      </c>
      <c r="O15" s="75">
        <f>RANK(Table3[[#This Row],[TOTAL]],Table3[TOTAL])</f>
        <v>33</v>
      </c>
      <c r="P15" s="75">
        <f>RANK(O15,$O$2:$O$100,1)+COUNTIF($O$1:O14,O15)</f>
        <v>33</v>
      </c>
      <c r="Q15" s="75" cm="1">
        <f t="array" ref="Q15">INDEX($B15:$L15, 1, VLOOKUP(Config!$B$2, Config!$E$2:$F$12, 2, FALSE)-1)</f>
        <v>60</v>
      </c>
      <c r="R15" s="75" cm="1">
        <f t="array" ref="R15">INDEX($B15:$L15, 1, VLOOKUP(Config!$B$3, Config!$E$2:$F$12, 2, FALSE)-1)</f>
        <v>60</v>
      </c>
      <c r="S15" s="75">
        <f t="shared" si="0"/>
        <v>60060443</v>
      </c>
      <c r="T15" s="75">
        <f t="shared" si="1"/>
        <v>28</v>
      </c>
    </row>
    <row r="16" spans="1:20" ht="17" customHeight="1" x14ac:dyDescent="0.35">
      <c r="A16" s="75" t="s">
        <v>62</v>
      </c>
      <c r="B16" s="75">
        <v>90</v>
      </c>
      <c r="C16" s="75">
        <v>110</v>
      </c>
      <c r="D16" s="75">
        <v>100</v>
      </c>
      <c r="E16" s="75">
        <v>80</v>
      </c>
      <c r="F16" s="75">
        <v>110</v>
      </c>
      <c r="G16" s="75">
        <v>110</v>
      </c>
      <c r="H16" s="75">
        <v>100</v>
      </c>
      <c r="I16" s="75">
        <v>52</v>
      </c>
      <c r="J16" s="75">
        <v>40</v>
      </c>
      <c r="K16" s="75">
        <v>23</v>
      </c>
      <c r="L16" s="75">
        <v>45</v>
      </c>
      <c r="M16" s="75">
        <f>SUMPRODUCT(Table3[[#This Row],[Physical]:[Beasthood]],Utility!$H$9:$R$9)</f>
        <v>443</v>
      </c>
      <c r="N16" s="75">
        <f>SUM(Table3[[#This Row],[Physical]:[Frenzy]])</f>
        <v>815</v>
      </c>
      <c r="O16" s="75">
        <f>RANK(Table3[[#This Row],[TOTAL]],Table3[TOTAL])</f>
        <v>3</v>
      </c>
      <c r="P16" s="75">
        <f>RANK(O16,$O$2:$O$100,1)+COUNTIF($O$1:O15,O16)</f>
        <v>3</v>
      </c>
      <c r="Q16" s="75" cm="1">
        <f t="array" ref="Q16">INDEX($B16:$L16, 1, VLOOKUP(Config!$B$2, Config!$E$2:$F$12, 2, FALSE)-1)</f>
        <v>110</v>
      </c>
      <c r="R16" s="75" cm="1">
        <f t="array" ref="R16">INDEX($B16:$L16, 1, VLOOKUP(Config!$B$3, Config!$E$2:$F$12, 2, FALSE)-1)</f>
        <v>90</v>
      </c>
      <c r="S16" s="75">
        <f t="shared" si="0"/>
        <v>110090815</v>
      </c>
      <c r="T16" s="75">
        <f t="shared" si="1"/>
        <v>8</v>
      </c>
    </row>
    <row r="17" spans="1:20" ht="17" customHeight="1" x14ac:dyDescent="0.35">
      <c r="A17" s="75" t="s">
        <v>63</v>
      </c>
      <c r="B17" s="75">
        <v>100</v>
      </c>
      <c r="C17" s="75">
        <v>80</v>
      </c>
      <c r="D17" s="75">
        <v>80</v>
      </c>
      <c r="E17" s="75">
        <v>100</v>
      </c>
      <c r="F17" s="75">
        <v>50</v>
      </c>
      <c r="G17" s="75">
        <v>80</v>
      </c>
      <c r="H17" s="75">
        <v>70</v>
      </c>
      <c r="I17" s="75">
        <v>33</v>
      </c>
      <c r="J17" s="75">
        <v>37</v>
      </c>
      <c r="K17" s="75">
        <v>52</v>
      </c>
      <c r="L17" s="75">
        <v>46</v>
      </c>
      <c r="M17" s="75">
        <f>SUMPRODUCT(Table3[[#This Row],[Physical]:[Beasthood]],Utility!$H$9:$R$9)</f>
        <v>359.8</v>
      </c>
      <c r="N17" s="75">
        <f>SUM(Table3[[#This Row],[Physical]:[Frenzy]])</f>
        <v>682</v>
      </c>
      <c r="O17" s="75">
        <f>RANK(Table3[[#This Row],[TOTAL]],Table3[TOTAL])</f>
        <v>25</v>
      </c>
      <c r="P17" s="75">
        <f>RANK(O17,$O$2:$O$100,1)+COUNTIF($O$1:O16,O17)</f>
        <v>25</v>
      </c>
      <c r="Q17" s="75" cm="1">
        <f t="array" ref="Q17">INDEX($B17:$L17, 1, VLOOKUP(Config!$B$2, Config!$E$2:$F$12, 2, FALSE)-1)</f>
        <v>80</v>
      </c>
      <c r="R17" s="75" cm="1">
        <f t="array" ref="R17">INDEX($B17:$L17, 1, VLOOKUP(Config!$B$3, Config!$E$2:$F$12, 2, FALSE)-1)</f>
        <v>100</v>
      </c>
      <c r="S17" s="75">
        <f t="shared" si="0"/>
        <v>80100682</v>
      </c>
      <c r="T17" s="75">
        <f t="shared" si="1"/>
        <v>22</v>
      </c>
    </row>
    <row r="18" spans="1:20" ht="17" customHeight="1" x14ac:dyDescent="0.35">
      <c r="A18" s="75" t="s">
        <v>64</v>
      </c>
      <c r="B18" s="75">
        <v>80</v>
      </c>
      <c r="C18" s="75">
        <v>80</v>
      </c>
      <c r="D18" s="75">
        <v>90</v>
      </c>
      <c r="E18" s="75">
        <v>80</v>
      </c>
      <c r="F18" s="75">
        <v>100</v>
      </c>
      <c r="G18" s="75">
        <v>80</v>
      </c>
      <c r="H18" s="75">
        <v>110</v>
      </c>
      <c r="I18" s="75">
        <v>50</v>
      </c>
      <c r="J18" s="75">
        <v>49</v>
      </c>
      <c r="K18" s="75">
        <v>49</v>
      </c>
      <c r="L18" s="75">
        <v>50</v>
      </c>
      <c r="M18" s="75">
        <f>SUMPRODUCT(Table3[[#This Row],[Physical]:[Beasthood]],Utility!$H$9:$R$9)</f>
        <v>380.9</v>
      </c>
      <c r="N18" s="75">
        <f>SUM(Table3[[#This Row],[Physical]:[Frenzy]])</f>
        <v>768</v>
      </c>
      <c r="O18" s="75">
        <f>RANK(Table3[[#This Row],[TOTAL]],Table3[TOTAL])</f>
        <v>20</v>
      </c>
      <c r="P18" s="75">
        <f>RANK(O18,$O$2:$O$100,1)+COUNTIF($O$1:O17,O18)</f>
        <v>20</v>
      </c>
      <c r="Q18" s="75" cm="1">
        <f t="array" ref="Q18">INDEX($B18:$L18, 1, VLOOKUP(Config!$B$2, Config!$E$2:$F$12, 2, FALSE)-1)</f>
        <v>80</v>
      </c>
      <c r="R18" s="75" cm="1">
        <f t="array" ref="R18">INDEX($B18:$L18, 1, VLOOKUP(Config!$B$3, Config!$E$2:$F$12, 2, FALSE)-1)</f>
        <v>80</v>
      </c>
      <c r="S18" s="75">
        <f t="shared" si="0"/>
        <v>80080768</v>
      </c>
      <c r="T18" s="75">
        <f t="shared" si="1"/>
        <v>23</v>
      </c>
    </row>
    <row r="19" spans="1:20" ht="17" customHeight="1" x14ac:dyDescent="0.35">
      <c r="A19" s="75" t="s">
        <v>65</v>
      </c>
      <c r="B19" s="75">
        <v>120</v>
      </c>
      <c r="C19" s="75">
        <v>80</v>
      </c>
      <c r="D19" s="75">
        <v>90</v>
      </c>
      <c r="E19" s="75">
        <v>90</v>
      </c>
      <c r="F19" s="75">
        <v>110</v>
      </c>
      <c r="G19" s="75">
        <v>90</v>
      </c>
      <c r="H19" s="75">
        <v>110</v>
      </c>
      <c r="I19" s="75">
        <v>56</v>
      </c>
      <c r="J19" s="75">
        <v>58</v>
      </c>
      <c r="K19" s="75">
        <v>9</v>
      </c>
      <c r="L19" s="75">
        <v>44</v>
      </c>
      <c r="M19" s="75">
        <f>SUMPRODUCT(Table3[[#This Row],[Physical]:[Beasthood]],Utility!$H$9:$R$9)</f>
        <v>436.9</v>
      </c>
      <c r="N19" s="75">
        <f>SUM(Table3[[#This Row],[Physical]:[Frenzy]])</f>
        <v>813</v>
      </c>
      <c r="O19" s="75">
        <f>RANK(Table3[[#This Row],[TOTAL]],Table3[TOTAL])</f>
        <v>4</v>
      </c>
      <c r="P19" s="75">
        <f>RANK(O19,$O$2:$O$100,1)+COUNTIF($O$1:O18,O19)</f>
        <v>4</v>
      </c>
      <c r="Q19" s="75" cm="1">
        <f t="array" ref="Q19">INDEX($B19:$L19, 1, VLOOKUP(Config!$B$2, Config!$E$2:$F$12, 2, FALSE)-1)</f>
        <v>90</v>
      </c>
      <c r="R19" s="75" cm="1">
        <f t="array" ref="R19">INDEX($B19:$L19, 1, VLOOKUP(Config!$B$3, Config!$E$2:$F$12, 2, FALSE)-1)</f>
        <v>120</v>
      </c>
      <c r="S19" s="75">
        <f t="shared" si="0"/>
        <v>90120813</v>
      </c>
      <c r="T19" s="75">
        <f t="shared" si="1"/>
        <v>18</v>
      </c>
    </row>
    <row r="20" spans="1:20" ht="17" customHeight="1" x14ac:dyDescent="0.35">
      <c r="A20" s="75" t="s">
        <v>66</v>
      </c>
      <c r="B20" s="75">
        <v>100</v>
      </c>
      <c r="C20" s="75">
        <v>100</v>
      </c>
      <c r="D20" s="75">
        <v>80</v>
      </c>
      <c r="E20" s="75">
        <v>80</v>
      </c>
      <c r="F20" s="75">
        <v>70</v>
      </c>
      <c r="G20" s="75">
        <v>100</v>
      </c>
      <c r="H20" s="75">
        <v>150</v>
      </c>
      <c r="I20" s="75">
        <v>21</v>
      </c>
      <c r="J20" s="75">
        <v>41</v>
      </c>
      <c r="K20" s="75">
        <v>45</v>
      </c>
      <c r="L20" s="75">
        <v>60</v>
      </c>
      <c r="M20" s="75">
        <f>SUMPRODUCT(Table3[[#This Row],[Physical]:[Beasthood]],Utility!$H$9:$R$9)</f>
        <v>415.8</v>
      </c>
      <c r="N20" s="75">
        <f>SUM(Table3[[#This Row],[Physical]:[Frenzy]])</f>
        <v>787</v>
      </c>
      <c r="O20" s="75">
        <f>RANK(Table3[[#This Row],[TOTAL]],Table3[TOTAL])</f>
        <v>8</v>
      </c>
      <c r="P20" s="75">
        <f>RANK(O20,$O$2:$O$100,1)+COUNTIF($O$1:O19,O20)</f>
        <v>8</v>
      </c>
      <c r="Q20" s="75" cm="1">
        <f t="array" ref="Q20">INDEX($B20:$L20, 1, VLOOKUP(Config!$B$2, Config!$E$2:$F$12, 2, FALSE)-1)</f>
        <v>100</v>
      </c>
      <c r="R20" s="75" cm="1">
        <f t="array" ref="R20">INDEX($B20:$L20, 1, VLOOKUP(Config!$B$3, Config!$E$2:$F$12, 2, FALSE)-1)</f>
        <v>100</v>
      </c>
      <c r="S20" s="75">
        <f t="shared" si="0"/>
        <v>100100787</v>
      </c>
      <c r="T20" s="75">
        <f t="shared" si="1"/>
        <v>13</v>
      </c>
    </row>
    <row r="21" spans="1:20" ht="17" customHeight="1" x14ac:dyDescent="0.35">
      <c r="A21" s="75" t="s">
        <v>67</v>
      </c>
      <c r="B21" s="75">
        <v>110</v>
      </c>
      <c r="C21" s="75">
        <v>110</v>
      </c>
      <c r="D21" s="75">
        <v>80</v>
      </c>
      <c r="E21" s="75">
        <v>110</v>
      </c>
      <c r="F21" s="75">
        <v>40</v>
      </c>
      <c r="G21" s="75">
        <v>110</v>
      </c>
      <c r="H21" s="75">
        <v>70</v>
      </c>
      <c r="I21" s="75">
        <v>17</v>
      </c>
      <c r="J21" s="75">
        <v>33</v>
      </c>
      <c r="K21" s="75">
        <v>48</v>
      </c>
      <c r="L21" s="75">
        <v>44</v>
      </c>
      <c r="M21" s="75">
        <f>SUMPRODUCT(Table3[[#This Row],[Physical]:[Beasthood]],Utility!$H$9:$R$9)</f>
        <v>409.8</v>
      </c>
      <c r="N21" s="75">
        <f>SUM(Table3[[#This Row],[Physical]:[Frenzy]])</f>
        <v>728</v>
      </c>
      <c r="O21" s="75">
        <f>RANK(Table3[[#This Row],[TOTAL]],Table3[TOTAL])</f>
        <v>11</v>
      </c>
      <c r="P21" s="75">
        <f>RANK(O21,$O$2:$O$100,1)+COUNTIF($O$1:O20,O21)</f>
        <v>11</v>
      </c>
      <c r="Q21" s="75" cm="1">
        <f t="array" ref="Q21">INDEX($B21:$L21, 1, VLOOKUP(Config!$B$2, Config!$E$2:$F$12, 2, FALSE)-1)</f>
        <v>110</v>
      </c>
      <c r="R21" s="75" cm="1">
        <f t="array" ref="R21">INDEX($B21:$L21, 1, VLOOKUP(Config!$B$3, Config!$E$2:$F$12, 2, FALSE)-1)</f>
        <v>110</v>
      </c>
      <c r="S21" s="75">
        <f t="shared" si="0"/>
        <v>110110728</v>
      </c>
      <c r="T21" s="75">
        <f t="shared" si="1"/>
        <v>6</v>
      </c>
    </row>
    <row r="22" spans="1:20" ht="17" customHeight="1" x14ac:dyDescent="0.35">
      <c r="A22" s="75" t="s">
        <v>68</v>
      </c>
      <c r="B22" s="75">
        <v>110</v>
      </c>
      <c r="C22" s="75">
        <v>100</v>
      </c>
      <c r="D22" s="75">
        <v>80</v>
      </c>
      <c r="E22" s="75">
        <v>110</v>
      </c>
      <c r="F22" s="75">
        <v>40</v>
      </c>
      <c r="G22" s="75">
        <v>110</v>
      </c>
      <c r="H22" s="75">
        <v>70</v>
      </c>
      <c r="I22" s="75">
        <v>17</v>
      </c>
      <c r="J22" s="75">
        <v>33</v>
      </c>
      <c r="K22" s="75">
        <v>56</v>
      </c>
      <c r="L22" s="75">
        <v>58</v>
      </c>
      <c r="M22" s="75">
        <f>SUMPRODUCT(Table3[[#This Row],[Physical]:[Beasthood]],Utility!$H$9:$R$9)</f>
        <v>401.8</v>
      </c>
      <c r="N22" s="75">
        <f>SUM(Table3[[#This Row],[Physical]:[Frenzy]])</f>
        <v>726</v>
      </c>
      <c r="O22" s="75">
        <f>RANK(Table3[[#This Row],[TOTAL]],Table3[TOTAL])</f>
        <v>15</v>
      </c>
      <c r="P22" s="75">
        <f>RANK(O22,$O$2:$O$100,1)+COUNTIF($O$1:O21,O22)</f>
        <v>15</v>
      </c>
      <c r="Q22" s="75" cm="1">
        <f t="array" ref="Q22">INDEX($B22:$L22, 1, VLOOKUP(Config!$B$2, Config!$E$2:$F$12, 2, FALSE)-1)</f>
        <v>110</v>
      </c>
      <c r="R22" s="75" cm="1">
        <f t="array" ref="R22">INDEX($B22:$L22, 1, VLOOKUP(Config!$B$3, Config!$E$2:$F$12, 2, FALSE)-1)</f>
        <v>110</v>
      </c>
      <c r="S22" s="75">
        <f t="shared" si="0"/>
        <v>110110726</v>
      </c>
      <c r="T22" s="75">
        <f t="shared" si="1"/>
        <v>7</v>
      </c>
    </row>
    <row r="23" spans="1:20" ht="17" customHeight="1" x14ac:dyDescent="0.35">
      <c r="A23" s="75" t="s">
        <v>69</v>
      </c>
      <c r="B23" s="75">
        <v>80</v>
      </c>
      <c r="C23" s="75">
        <v>60</v>
      </c>
      <c r="D23" s="75">
        <v>70</v>
      </c>
      <c r="E23" s="75">
        <v>90</v>
      </c>
      <c r="F23" s="75">
        <v>80</v>
      </c>
      <c r="G23" s="75">
        <v>130</v>
      </c>
      <c r="H23" s="75">
        <v>70</v>
      </c>
      <c r="I23" s="75">
        <v>37</v>
      </c>
      <c r="J23" s="75">
        <v>34</v>
      </c>
      <c r="K23" s="75">
        <v>25</v>
      </c>
      <c r="L23" s="75">
        <v>18</v>
      </c>
      <c r="M23" s="75">
        <f>SUMPRODUCT(Table3[[#This Row],[Physical]:[Beasthood]],Utility!$H$9:$R$9)</f>
        <v>360.7</v>
      </c>
      <c r="N23" s="75">
        <f>SUM(Table3[[#This Row],[Physical]:[Frenzy]])</f>
        <v>676</v>
      </c>
      <c r="O23" s="75">
        <f>RANK(Table3[[#This Row],[TOTAL]],Table3[TOTAL])</f>
        <v>24</v>
      </c>
      <c r="P23" s="75">
        <f>RANK(O23,$O$2:$O$100,1)+COUNTIF($O$1:O22,O23)</f>
        <v>24</v>
      </c>
      <c r="Q23" s="75" cm="1">
        <f t="array" ref="Q23">INDEX($B23:$L23, 1, VLOOKUP(Config!$B$2, Config!$E$2:$F$12, 2, FALSE)-1)</f>
        <v>130</v>
      </c>
      <c r="R23" s="75" cm="1">
        <f t="array" ref="R23">INDEX($B23:$L23, 1, VLOOKUP(Config!$B$3, Config!$E$2:$F$12, 2, FALSE)-1)</f>
        <v>80</v>
      </c>
      <c r="S23" s="75">
        <f t="shared" si="0"/>
        <v>130080676</v>
      </c>
      <c r="T23" s="75">
        <f t="shared" si="1"/>
        <v>3</v>
      </c>
    </row>
    <row r="24" spans="1:20" ht="17" customHeight="1" x14ac:dyDescent="0.35">
      <c r="A24" s="75" t="s">
        <v>70</v>
      </c>
      <c r="B24" s="75">
        <v>90</v>
      </c>
      <c r="C24" s="75">
        <v>70</v>
      </c>
      <c r="D24" s="75">
        <v>80</v>
      </c>
      <c r="E24" s="75">
        <v>140</v>
      </c>
      <c r="F24" s="75">
        <v>40</v>
      </c>
      <c r="G24" s="75">
        <v>50</v>
      </c>
      <c r="H24" s="75">
        <v>80</v>
      </c>
      <c r="I24" s="75">
        <v>26</v>
      </c>
      <c r="J24" s="75">
        <v>43</v>
      </c>
      <c r="K24" s="75">
        <v>40</v>
      </c>
      <c r="L24" s="75">
        <v>36</v>
      </c>
      <c r="M24" s="75">
        <f>SUMPRODUCT(Table3[[#This Row],[Physical]:[Beasthood]],Utility!$H$9:$R$9)</f>
        <v>336.8</v>
      </c>
      <c r="N24" s="75">
        <f>SUM(Table3[[#This Row],[Physical]:[Frenzy]])</f>
        <v>659</v>
      </c>
      <c r="O24" s="75">
        <f>RANK(Table3[[#This Row],[TOTAL]],Table3[TOTAL])</f>
        <v>30</v>
      </c>
      <c r="P24" s="75">
        <f>RANK(O24,$O$2:$O$100,1)+COUNTIF($O$1:O23,O24)</f>
        <v>30</v>
      </c>
      <c r="Q24" s="75" cm="1">
        <f t="array" ref="Q24">INDEX($B24:$L24, 1, VLOOKUP(Config!$B$2, Config!$E$2:$F$12, 2, FALSE)-1)</f>
        <v>50</v>
      </c>
      <c r="R24" s="75" cm="1">
        <f t="array" ref="R24">INDEX($B24:$L24, 1, VLOOKUP(Config!$B$3, Config!$E$2:$F$12, 2, FALSE)-1)</f>
        <v>90</v>
      </c>
      <c r="S24" s="75">
        <f t="shared" si="0"/>
        <v>50090659</v>
      </c>
      <c r="T24" s="75">
        <f t="shared" si="1"/>
        <v>30</v>
      </c>
    </row>
    <row r="25" spans="1:20" ht="17" customHeight="1" x14ac:dyDescent="0.35">
      <c r="A25" s="75" t="s">
        <v>71</v>
      </c>
      <c r="B25" s="75">
        <v>80</v>
      </c>
      <c r="C25" s="75">
        <v>70</v>
      </c>
      <c r="D25" s="75">
        <v>80</v>
      </c>
      <c r="E25" s="75">
        <v>80</v>
      </c>
      <c r="F25" s="75">
        <v>120</v>
      </c>
      <c r="G25" s="75">
        <v>110</v>
      </c>
      <c r="H25" s="75">
        <v>110</v>
      </c>
      <c r="I25" s="75">
        <v>59</v>
      </c>
      <c r="J25" s="75">
        <v>52</v>
      </c>
      <c r="K25" s="75">
        <v>4</v>
      </c>
      <c r="L25" s="75">
        <v>29</v>
      </c>
      <c r="M25" s="75">
        <f>SUMPRODUCT(Table3[[#This Row],[Physical]:[Beasthood]],Utility!$H$9:$R$9)</f>
        <v>395.8</v>
      </c>
      <c r="N25" s="75">
        <f>SUM(Table3[[#This Row],[Physical]:[Frenzy]])</f>
        <v>765</v>
      </c>
      <c r="O25" s="75">
        <f>RANK(Table3[[#This Row],[TOTAL]],Table3[TOTAL])</f>
        <v>16</v>
      </c>
      <c r="P25" s="75">
        <f>RANK(O25,$O$2:$O$100,1)+COUNTIF($O$1:O24,O25)</f>
        <v>16</v>
      </c>
      <c r="Q25" s="75" cm="1">
        <f t="array" ref="Q25">INDEX($B25:$L25, 1, VLOOKUP(Config!$B$2, Config!$E$2:$F$12, 2, FALSE)-1)</f>
        <v>110</v>
      </c>
      <c r="R25" s="75" cm="1">
        <f t="array" ref="R25">INDEX($B25:$L25, 1, VLOOKUP(Config!$B$3, Config!$E$2:$F$12, 2, FALSE)-1)</f>
        <v>80</v>
      </c>
      <c r="S25" s="75">
        <f t="shared" si="0"/>
        <v>110080765</v>
      </c>
      <c r="T25" s="75">
        <f t="shared" si="1"/>
        <v>11</v>
      </c>
    </row>
    <row r="26" spans="1:20" ht="17" customHeight="1" x14ac:dyDescent="0.35">
      <c r="A26" s="75" t="s">
        <v>72</v>
      </c>
      <c r="B26" s="75">
        <v>80</v>
      </c>
      <c r="C26" s="75">
        <v>70</v>
      </c>
      <c r="D26" s="75">
        <v>80</v>
      </c>
      <c r="E26" s="75">
        <v>150</v>
      </c>
      <c r="F26" s="75">
        <v>70</v>
      </c>
      <c r="G26" s="75">
        <v>60</v>
      </c>
      <c r="H26" s="75">
        <v>80</v>
      </c>
      <c r="I26" s="75">
        <v>20</v>
      </c>
      <c r="J26" s="75">
        <v>51</v>
      </c>
      <c r="K26" s="75">
        <v>30</v>
      </c>
      <c r="L26" s="75">
        <v>16</v>
      </c>
      <c r="M26" s="75">
        <f>SUMPRODUCT(Table3[[#This Row],[Physical]:[Beasthood]],Utility!$H$9:$R$9)</f>
        <v>354.8</v>
      </c>
      <c r="N26" s="75">
        <f>SUM(Table3[[#This Row],[Physical]:[Frenzy]])</f>
        <v>691</v>
      </c>
      <c r="O26" s="75">
        <f>RANK(Table3[[#This Row],[TOTAL]],Table3[TOTAL])</f>
        <v>28</v>
      </c>
      <c r="P26" s="75">
        <f>RANK(O26,$O$2:$O$100,1)+COUNTIF($O$1:O25,O26)</f>
        <v>28</v>
      </c>
      <c r="Q26" s="75" cm="1">
        <f t="array" ref="Q26">INDEX($B26:$L26, 1, VLOOKUP(Config!$B$2, Config!$E$2:$F$12, 2, FALSE)-1)</f>
        <v>60</v>
      </c>
      <c r="R26" s="75" cm="1">
        <f t="array" ref="R26">INDEX($B26:$L26, 1, VLOOKUP(Config!$B$3, Config!$E$2:$F$12, 2, FALSE)-1)</f>
        <v>80</v>
      </c>
      <c r="S26" s="75">
        <f t="shared" si="0"/>
        <v>60080691</v>
      </c>
      <c r="T26" s="75">
        <f t="shared" si="1"/>
        <v>25</v>
      </c>
    </row>
    <row r="27" spans="1:20" ht="17" customHeight="1" x14ac:dyDescent="0.35">
      <c r="A27" s="75" t="s">
        <v>73</v>
      </c>
      <c r="B27" s="75">
        <v>50</v>
      </c>
      <c r="C27" s="75">
        <v>60</v>
      </c>
      <c r="D27" s="75">
        <v>40</v>
      </c>
      <c r="E27" s="75">
        <v>130</v>
      </c>
      <c r="F27" s="75">
        <v>60</v>
      </c>
      <c r="G27" s="75">
        <v>40</v>
      </c>
      <c r="H27" s="75">
        <v>70</v>
      </c>
      <c r="I27" s="75">
        <v>23</v>
      </c>
      <c r="J27" s="75">
        <v>31</v>
      </c>
      <c r="K27" s="75">
        <v>27</v>
      </c>
      <c r="L27" s="75">
        <v>38</v>
      </c>
      <c r="M27" s="75">
        <f>SUMPRODUCT(Table3[[#This Row],[Physical]:[Beasthood]],Utility!$H$9:$R$9)</f>
        <v>259.39999999999998</v>
      </c>
      <c r="N27" s="75">
        <f>SUM(Table3[[#This Row],[Physical]:[Frenzy]])</f>
        <v>531</v>
      </c>
      <c r="O27" s="75">
        <f>RANK(Table3[[#This Row],[TOTAL]],Table3[TOTAL])</f>
        <v>31</v>
      </c>
      <c r="P27" s="75">
        <f>RANK(O27,$O$2:$O$100,1)+COUNTIF($O$1:O26,O27)</f>
        <v>31</v>
      </c>
      <c r="Q27" s="75" cm="1">
        <f t="array" ref="Q27">INDEX($B27:$L27, 1, VLOOKUP(Config!$B$2, Config!$E$2:$F$12, 2, FALSE)-1)</f>
        <v>40</v>
      </c>
      <c r="R27" s="75" cm="1">
        <f t="array" ref="R27">INDEX($B27:$L27, 1, VLOOKUP(Config!$B$3, Config!$E$2:$F$12, 2, FALSE)-1)</f>
        <v>50</v>
      </c>
      <c r="S27" s="75">
        <f t="shared" si="0"/>
        <v>40050531</v>
      </c>
      <c r="T27" s="75">
        <f t="shared" si="1"/>
        <v>34</v>
      </c>
    </row>
    <row r="28" spans="1:20" ht="17" customHeight="1" x14ac:dyDescent="0.35">
      <c r="A28" s="75" t="s">
        <v>74</v>
      </c>
      <c r="B28" s="75">
        <v>100</v>
      </c>
      <c r="C28" s="75">
        <v>70</v>
      </c>
      <c r="D28" s="75">
        <v>80</v>
      </c>
      <c r="E28" s="75">
        <v>100</v>
      </c>
      <c r="F28" s="75">
        <v>70</v>
      </c>
      <c r="G28" s="75">
        <v>120</v>
      </c>
      <c r="H28" s="75">
        <v>50</v>
      </c>
      <c r="I28" s="75">
        <v>19</v>
      </c>
      <c r="J28" s="75">
        <v>19</v>
      </c>
      <c r="K28" s="75">
        <v>44</v>
      </c>
      <c r="L28" s="75">
        <v>48</v>
      </c>
      <c r="M28" s="75">
        <f>SUMPRODUCT(Table3[[#This Row],[Physical]:[Beasthood]],Utility!$H$9:$R$9)</f>
        <v>381.8</v>
      </c>
      <c r="N28" s="75">
        <f>SUM(Table3[[#This Row],[Physical]:[Frenzy]])</f>
        <v>672</v>
      </c>
      <c r="O28" s="75">
        <f>RANK(Table3[[#This Row],[TOTAL]],Table3[TOTAL])</f>
        <v>18</v>
      </c>
      <c r="P28" s="75">
        <f>RANK(O28,$O$2:$O$100,1)+COUNTIF($O$1:O27,O28)</f>
        <v>19</v>
      </c>
      <c r="Q28" s="75" cm="1">
        <f t="array" ref="Q28">INDEX($B28:$L28, 1, VLOOKUP(Config!$B$2, Config!$E$2:$F$12, 2, FALSE)-1)</f>
        <v>120</v>
      </c>
      <c r="R28" s="75" cm="1">
        <f t="array" ref="R28">INDEX($B28:$L28, 1, VLOOKUP(Config!$B$3, Config!$E$2:$F$12, 2, FALSE)-1)</f>
        <v>100</v>
      </c>
      <c r="S28" s="75">
        <f t="shared" si="0"/>
        <v>120100672</v>
      </c>
      <c r="T28" s="75">
        <f t="shared" si="1"/>
        <v>5</v>
      </c>
    </row>
    <row r="29" spans="1:20" ht="17" customHeight="1" x14ac:dyDescent="0.35">
      <c r="A29" s="75" t="s">
        <v>75</v>
      </c>
      <c r="B29" s="75">
        <v>70</v>
      </c>
      <c r="C29" s="75">
        <v>70</v>
      </c>
      <c r="D29" s="75">
        <v>70</v>
      </c>
      <c r="E29" s="75">
        <v>100</v>
      </c>
      <c r="F29" s="75">
        <v>140</v>
      </c>
      <c r="G29" s="75">
        <v>60</v>
      </c>
      <c r="H29" s="75">
        <v>70</v>
      </c>
      <c r="I29" s="75">
        <v>42</v>
      </c>
      <c r="J29" s="75">
        <v>31</v>
      </c>
      <c r="K29" s="75">
        <v>35</v>
      </c>
      <c r="L29" s="75">
        <v>35</v>
      </c>
      <c r="M29" s="75">
        <f>SUMPRODUCT(Table3[[#This Row],[Physical]:[Beasthood]],Utility!$H$9:$R$9)</f>
        <v>356.7</v>
      </c>
      <c r="N29" s="75">
        <f>SUM(Table3[[#This Row],[Physical]:[Frenzy]])</f>
        <v>688</v>
      </c>
      <c r="O29" s="75">
        <f>RANK(Table3[[#This Row],[TOTAL]],Table3[TOTAL])</f>
        <v>26</v>
      </c>
      <c r="P29" s="75">
        <f>RANK(O29,$O$2:$O$100,1)+COUNTIF($O$1:O28,O29)</f>
        <v>26</v>
      </c>
      <c r="Q29" s="75" cm="1">
        <f t="array" ref="Q29">INDEX($B29:$L29, 1, VLOOKUP(Config!$B$2, Config!$E$2:$F$12, 2, FALSE)-1)</f>
        <v>60</v>
      </c>
      <c r="R29" s="75" cm="1">
        <f t="array" ref="R29">INDEX($B29:$L29, 1, VLOOKUP(Config!$B$3, Config!$E$2:$F$12, 2, FALSE)-1)</f>
        <v>70</v>
      </c>
      <c r="S29" s="75">
        <f t="shared" si="0"/>
        <v>60070688</v>
      </c>
      <c r="T29" s="75">
        <f t="shared" si="1"/>
        <v>26</v>
      </c>
    </row>
    <row r="30" spans="1:20" ht="17" customHeight="1" x14ac:dyDescent="0.35">
      <c r="A30" s="75" t="s">
        <v>76</v>
      </c>
      <c r="B30" s="75">
        <v>70</v>
      </c>
      <c r="C30" s="75">
        <v>60</v>
      </c>
      <c r="D30" s="75">
        <v>60</v>
      </c>
      <c r="E30" s="75">
        <v>90</v>
      </c>
      <c r="F30" s="75">
        <v>140</v>
      </c>
      <c r="G30" s="75">
        <v>60</v>
      </c>
      <c r="H30" s="75">
        <v>70</v>
      </c>
      <c r="I30" s="75">
        <v>42</v>
      </c>
      <c r="J30" s="75">
        <v>31</v>
      </c>
      <c r="K30" s="75">
        <v>35</v>
      </c>
      <c r="L30" s="75">
        <v>45</v>
      </c>
      <c r="M30" s="75">
        <f>SUMPRODUCT(Table3[[#This Row],[Physical]:[Beasthood]],Utility!$H$9:$R$9)</f>
        <v>337.6</v>
      </c>
      <c r="N30" s="75">
        <f>SUM(Table3[[#This Row],[Physical]:[Frenzy]])</f>
        <v>658</v>
      </c>
      <c r="O30" s="75">
        <f>RANK(Table3[[#This Row],[TOTAL]],Table3[TOTAL])</f>
        <v>29</v>
      </c>
      <c r="P30" s="75">
        <f>RANK(O30,$O$2:$O$100,1)+COUNTIF($O$1:O29,O30)</f>
        <v>29</v>
      </c>
      <c r="Q30" s="75" cm="1">
        <f t="array" ref="Q30">INDEX($B30:$L30, 1, VLOOKUP(Config!$B$2, Config!$E$2:$F$12, 2, FALSE)-1)</f>
        <v>60</v>
      </c>
      <c r="R30" s="75" cm="1">
        <f t="array" ref="R30">INDEX($B30:$L30, 1, VLOOKUP(Config!$B$3, Config!$E$2:$F$12, 2, FALSE)-1)</f>
        <v>70</v>
      </c>
      <c r="S30" s="75">
        <f t="shared" si="0"/>
        <v>60070658</v>
      </c>
      <c r="T30" s="75">
        <f t="shared" si="1"/>
        <v>27</v>
      </c>
    </row>
    <row r="31" spans="1:20" ht="17" customHeight="1" x14ac:dyDescent="0.35">
      <c r="A31" s="75" t="s">
        <v>77</v>
      </c>
      <c r="B31" s="75">
        <v>60</v>
      </c>
      <c r="C31" s="75">
        <v>50</v>
      </c>
      <c r="D31" s="75">
        <v>50</v>
      </c>
      <c r="E31" s="75">
        <v>40</v>
      </c>
      <c r="F31" s="75">
        <v>40</v>
      </c>
      <c r="G31" s="75">
        <v>100</v>
      </c>
      <c r="H31" s="75">
        <v>60</v>
      </c>
      <c r="I31" s="75">
        <v>27</v>
      </c>
      <c r="J31" s="75">
        <v>35</v>
      </c>
      <c r="K31" s="75">
        <v>38</v>
      </c>
      <c r="L31" s="75">
        <v>27</v>
      </c>
      <c r="M31" s="75">
        <f>SUMPRODUCT(Table3[[#This Row],[Physical]:[Beasthood]],Utility!$H$9:$R$9)</f>
        <v>253.5</v>
      </c>
      <c r="N31" s="75">
        <f>SUM(Table3[[#This Row],[Physical]:[Frenzy]])</f>
        <v>500</v>
      </c>
      <c r="O31" s="75">
        <f>RANK(Table3[[#This Row],[TOTAL]],Table3[TOTAL])</f>
        <v>32</v>
      </c>
      <c r="P31" s="75">
        <f>RANK(O31,$O$2:$O$100,1)+COUNTIF($O$1:O30,O31)</f>
        <v>32</v>
      </c>
      <c r="Q31" s="75" cm="1">
        <f t="array" ref="Q31">INDEX($B31:$L31, 1, VLOOKUP(Config!$B$2, Config!$E$2:$F$12, 2, FALSE)-1)</f>
        <v>100</v>
      </c>
      <c r="R31" s="75" cm="1">
        <f t="array" ref="R31">INDEX($B31:$L31, 1, VLOOKUP(Config!$B$3, Config!$E$2:$F$12, 2, FALSE)-1)</f>
        <v>60</v>
      </c>
      <c r="S31" s="75">
        <f t="shared" si="0"/>
        <v>100060500</v>
      </c>
      <c r="T31" s="75">
        <f t="shared" si="1"/>
        <v>17</v>
      </c>
    </row>
    <row r="32" spans="1:20" ht="17" customHeight="1" x14ac:dyDescent="0.35">
      <c r="A32" s="75" t="s">
        <v>78</v>
      </c>
      <c r="B32" s="75">
        <v>90</v>
      </c>
      <c r="C32" s="75">
        <v>90</v>
      </c>
      <c r="D32" s="75">
        <v>100</v>
      </c>
      <c r="E32" s="75">
        <v>90</v>
      </c>
      <c r="F32" s="75">
        <v>120</v>
      </c>
      <c r="G32" s="75">
        <v>100</v>
      </c>
      <c r="H32" s="75">
        <v>110</v>
      </c>
      <c r="I32" s="75">
        <v>55</v>
      </c>
      <c r="J32" s="75">
        <v>57</v>
      </c>
      <c r="K32" s="75">
        <v>13</v>
      </c>
      <c r="L32" s="75">
        <v>45</v>
      </c>
      <c r="M32" s="75">
        <f>SUMPRODUCT(Table3[[#This Row],[Physical]:[Beasthood]],Utility!$H$9:$R$9)</f>
        <v>434</v>
      </c>
      <c r="N32" s="75">
        <f>SUM(Table3[[#This Row],[Physical]:[Frenzy]])</f>
        <v>825</v>
      </c>
      <c r="O32" s="75">
        <f>RANK(Table3[[#This Row],[TOTAL]],Table3[TOTAL])</f>
        <v>5</v>
      </c>
      <c r="P32" s="75">
        <f>RANK(O32,$O$2:$O$100,1)+COUNTIF($O$1:O31,O32)</f>
        <v>5</v>
      </c>
      <c r="Q32" s="75" cm="1">
        <f t="array" ref="Q32">INDEX($B32:$L32, 1, VLOOKUP(Config!$B$2, Config!$E$2:$F$12, 2, FALSE)-1)</f>
        <v>100</v>
      </c>
      <c r="R32" s="75" cm="1">
        <f t="array" ref="R32">INDEX($B32:$L32, 1, VLOOKUP(Config!$B$3, Config!$E$2:$F$12, 2, FALSE)-1)</f>
        <v>90</v>
      </c>
      <c r="S32" s="75">
        <f t="shared" si="0"/>
        <v>100090825</v>
      </c>
      <c r="T32" s="75">
        <f t="shared" si="1"/>
        <v>15</v>
      </c>
    </row>
    <row r="33" spans="1:20" ht="17" customHeight="1" x14ac:dyDescent="0.35">
      <c r="A33" s="75" t="s">
        <v>79</v>
      </c>
      <c r="B33" s="75">
        <v>80</v>
      </c>
      <c r="C33" s="75">
        <v>80</v>
      </c>
      <c r="D33" s="75">
        <v>110</v>
      </c>
      <c r="E33" s="75">
        <v>120</v>
      </c>
      <c r="F33" s="75">
        <v>110</v>
      </c>
      <c r="G33" s="75">
        <v>100</v>
      </c>
      <c r="H33" s="75">
        <v>110</v>
      </c>
      <c r="I33" s="75">
        <v>63</v>
      </c>
      <c r="J33" s="75">
        <v>55</v>
      </c>
      <c r="K33" s="75">
        <v>11</v>
      </c>
      <c r="L33" s="75">
        <v>36</v>
      </c>
      <c r="M33" s="75">
        <f>SUMPRODUCT(Table3[[#This Row],[Physical]:[Beasthood]],Utility!$H$9:$R$9)</f>
        <v>429.1</v>
      </c>
      <c r="N33" s="75">
        <f>SUM(Table3[[#This Row],[Physical]:[Frenzy]])</f>
        <v>839</v>
      </c>
      <c r="O33" s="75">
        <f>RANK(Table3[[#This Row],[TOTAL]],Table3[TOTAL])</f>
        <v>6</v>
      </c>
      <c r="P33" s="75">
        <f>RANK(O33,$O$2:$O$100,1)+COUNTIF($O$1:O32,O33)</f>
        <v>6</v>
      </c>
      <c r="Q33" s="75" cm="1">
        <f t="array" ref="Q33">INDEX($B33:$L33, 1, VLOOKUP(Config!$B$2, Config!$E$2:$F$12, 2, FALSE)-1)</f>
        <v>100</v>
      </c>
      <c r="R33" s="75" cm="1">
        <f t="array" ref="R33">INDEX($B33:$L33, 1, VLOOKUP(Config!$B$3, Config!$E$2:$F$12, 2, FALSE)-1)</f>
        <v>80</v>
      </c>
      <c r="S33" s="75">
        <f t="shared" si="0"/>
        <v>100080839</v>
      </c>
      <c r="T33" s="75">
        <f t="shared" si="1"/>
        <v>16</v>
      </c>
    </row>
    <row r="34" spans="1:20" ht="17" customHeight="1" x14ac:dyDescent="0.35">
      <c r="A34" s="75" t="s">
        <v>80</v>
      </c>
      <c r="B34" s="75">
        <v>110</v>
      </c>
      <c r="C34" s="75">
        <v>90</v>
      </c>
      <c r="D34" s="75">
        <v>90</v>
      </c>
      <c r="E34" s="75">
        <v>80</v>
      </c>
      <c r="F34" s="75">
        <v>60</v>
      </c>
      <c r="G34" s="75">
        <v>40</v>
      </c>
      <c r="H34" s="75">
        <v>60</v>
      </c>
      <c r="I34" s="75">
        <v>45</v>
      </c>
      <c r="J34" s="75">
        <v>37</v>
      </c>
      <c r="K34" s="75">
        <v>41</v>
      </c>
      <c r="L34" s="75">
        <v>37</v>
      </c>
      <c r="M34" s="75">
        <f>SUMPRODUCT(Table3[[#This Row],[Physical]:[Beasthood]],Utility!$H$9:$R$9)</f>
        <v>355.9</v>
      </c>
      <c r="N34" s="75">
        <f>SUM(Table3[[#This Row],[Physical]:[Frenzy]])</f>
        <v>653</v>
      </c>
      <c r="O34" s="75">
        <f>RANK(Table3[[#This Row],[TOTAL]],Table3[TOTAL])</f>
        <v>27</v>
      </c>
      <c r="P34" s="75">
        <f>RANK(O34,$O$2:$O$100,1)+COUNTIF($O$1:O33,O34)</f>
        <v>27</v>
      </c>
      <c r="Q34" s="75" cm="1">
        <f t="array" ref="Q34">INDEX($B34:$L34, 1, VLOOKUP(Config!$B$2, Config!$E$2:$F$12, 2, FALSE)-1)</f>
        <v>40</v>
      </c>
      <c r="R34" s="75" cm="1">
        <f t="array" ref="R34">INDEX($B34:$L34, 1, VLOOKUP(Config!$B$3, Config!$E$2:$F$12, 2, FALSE)-1)</f>
        <v>110</v>
      </c>
      <c r="S34" s="75">
        <f t="shared" si="0"/>
        <v>40110653</v>
      </c>
      <c r="T34" s="75">
        <f t="shared" si="1"/>
        <v>33</v>
      </c>
    </row>
    <row r="35" spans="1:20" ht="17" customHeight="1" x14ac:dyDescent="0.35">
      <c r="A35" s="76" t="s">
        <v>81</v>
      </c>
      <c r="B35" s="76">
        <v>110</v>
      </c>
      <c r="C35" s="76">
        <v>80</v>
      </c>
      <c r="D35" s="76">
        <v>90</v>
      </c>
      <c r="E35" s="76">
        <v>90</v>
      </c>
      <c r="F35" s="76">
        <v>80</v>
      </c>
      <c r="G35" s="76">
        <v>100</v>
      </c>
      <c r="H35" s="76">
        <v>90</v>
      </c>
      <c r="I35" s="76">
        <v>48</v>
      </c>
      <c r="J35" s="76">
        <v>40</v>
      </c>
      <c r="K35" s="76">
        <v>41</v>
      </c>
      <c r="L35" s="76">
        <v>48</v>
      </c>
      <c r="M35" s="76">
        <f>SUMPRODUCT(Table3[[#This Row],[Physical]:[Beasthood]],Utility!$H$9:$R$9)</f>
        <v>408.9</v>
      </c>
      <c r="N35" s="76">
        <f>SUM(Table3[[#This Row],[Physical]:[Frenzy]])</f>
        <v>769</v>
      </c>
      <c r="O35" s="76">
        <f>RANK(Table3[[#This Row],[TOTAL]],Table3[TOTAL])</f>
        <v>12</v>
      </c>
      <c r="P35" s="76">
        <f>RANK(O35,$O$2:$O$100,1)+COUNTIF($O$1:O34,O35)</f>
        <v>12</v>
      </c>
      <c r="Q35" s="76" cm="1">
        <f t="array" ref="Q35">INDEX($B35:$L35, 1, VLOOKUP(Config!$B$2, Config!$E$2:$F$12, 2, FALSE)-1)</f>
        <v>100</v>
      </c>
      <c r="R35" s="76" cm="1">
        <f t="array" ref="R35">INDEX($B35:$L35, 1, VLOOKUP(Config!$B$3, Config!$E$2:$F$12, 2, FALSE)-1)</f>
        <v>110</v>
      </c>
      <c r="S35" s="76">
        <f t="shared" si="0"/>
        <v>100110769</v>
      </c>
      <c r="T35" s="76">
        <f t="shared" si="1"/>
        <v>12</v>
      </c>
    </row>
  </sheetData>
  <conditionalFormatting sqref="B2:L35">
    <cfRule type="colorScale" priority="2">
      <colorScale>
        <cfvo type="min"/>
        <cfvo type="percentile" val="50"/>
        <cfvo type="max"/>
        <color rgb="FFF8696B"/>
        <color rgb="FFFFEB84"/>
        <color rgb="FF63BE7B"/>
      </colorScale>
    </cfRule>
  </conditionalFormatting>
  <conditionalFormatting sqref="M2:M3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F8CCB-B341-4863-8450-FB43AAB94BB3}">
  <sheetPr codeName="Sheet5"/>
  <dimension ref="A1:AR27"/>
  <sheetViews>
    <sheetView workbookViewId="0">
      <selection activeCell="I34" sqref="I34"/>
    </sheetView>
  </sheetViews>
  <sheetFormatPr defaultRowHeight="14.5" x14ac:dyDescent="0.35"/>
  <cols>
    <col min="1" max="1" width="24.08984375" customWidth="1"/>
    <col min="2" max="2" width="9.36328125" customWidth="1"/>
    <col min="12" max="12" width="11.26953125" customWidth="1"/>
  </cols>
  <sheetData>
    <row r="1" spans="1:44" s="10" customFormat="1" ht="17" customHeight="1" x14ac:dyDescent="0.35">
      <c r="A1" s="7" t="s">
        <v>141</v>
      </c>
      <c r="B1" s="10" t="s">
        <v>0</v>
      </c>
      <c r="C1" s="10" t="s">
        <v>1</v>
      </c>
      <c r="D1" s="10" t="s">
        <v>2</v>
      </c>
      <c r="E1" s="10" t="s">
        <v>3</v>
      </c>
      <c r="F1" s="10" t="s">
        <v>4</v>
      </c>
      <c r="G1" s="10" t="s">
        <v>5</v>
      </c>
      <c r="H1" s="10" t="s">
        <v>6</v>
      </c>
      <c r="I1" s="10" t="s">
        <v>7</v>
      </c>
      <c r="J1" s="10" t="s">
        <v>8</v>
      </c>
      <c r="K1" s="10" t="s">
        <v>9</v>
      </c>
      <c r="L1" s="10" t="s">
        <v>10</v>
      </c>
      <c r="M1" s="10" t="s">
        <v>47</v>
      </c>
      <c r="N1" s="10" t="s">
        <v>145</v>
      </c>
      <c r="O1" s="7" t="s">
        <v>144</v>
      </c>
      <c r="P1" s="10" t="s">
        <v>153</v>
      </c>
      <c r="Q1" s="7" t="s">
        <v>180</v>
      </c>
      <c r="R1" s="7" t="s">
        <v>181</v>
      </c>
      <c r="S1" s="7" t="s">
        <v>182</v>
      </c>
      <c r="T1" s="7" t="s">
        <v>183</v>
      </c>
      <c r="U1"/>
      <c r="V1"/>
      <c r="W1"/>
      <c r="X1"/>
      <c r="Y1"/>
      <c r="Z1"/>
      <c r="AA1"/>
      <c r="AB1"/>
      <c r="AC1"/>
      <c r="AD1"/>
      <c r="AE1"/>
      <c r="AF1"/>
      <c r="AG1"/>
      <c r="AH1"/>
      <c r="AI1"/>
      <c r="AJ1"/>
      <c r="AK1"/>
      <c r="AL1"/>
      <c r="AM1"/>
      <c r="AN1"/>
      <c r="AO1"/>
      <c r="AP1"/>
      <c r="AQ1"/>
      <c r="AR1"/>
    </row>
    <row r="2" spans="1:44" s="75" customFormat="1" ht="17" customHeight="1" x14ac:dyDescent="0.35">
      <c r="A2" s="75" t="s">
        <v>82</v>
      </c>
      <c r="B2" s="75">
        <v>40</v>
      </c>
      <c r="C2" s="75">
        <v>60</v>
      </c>
      <c r="D2" s="75">
        <v>50</v>
      </c>
      <c r="E2" s="75">
        <v>40</v>
      </c>
      <c r="F2" s="75">
        <v>50</v>
      </c>
      <c r="G2" s="75">
        <v>40</v>
      </c>
      <c r="H2" s="75">
        <v>50</v>
      </c>
      <c r="I2" s="75">
        <v>13</v>
      </c>
      <c r="J2" s="75">
        <v>24</v>
      </c>
      <c r="K2" s="75">
        <v>28</v>
      </c>
      <c r="L2" s="75">
        <v>32</v>
      </c>
      <c r="M2" s="75">
        <f>SUMPRODUCT(Table4[[#This Row],[Physical]:[Beasthood]],Utility!$H$9:$R$9)</f>
        <v>208.5</v>
      </c>
      <c r="N2" s="75">
        <f>SUM(Table4[[#This Row],[Physical]:[Frenzy]])</f>
        <v>395</v>
      </c>
      <c r="O2" s="75">
        <f>RANK(Table4[[#This Row],[TOTAL]],Table4[TOTAL])</f>
        <v>22</v>
      </c>
      <c r="P2" s="75">
        <f>RANK(O2,$O$2:$O$100,1)+COUNTIF($O$1:O1,O2)</f>
        <v>22</v>
      </c>
      <c r="Q2" s="77" cm="1">
        <f t="array" ref="Q2">INDEX($B2:$L2, 1, VLOOKUP(Config!$B$2, Config!$E$2:$F$12, 2, FALSE)-1)</f>
        <v>40</v>
      </c>
      <c r="R2" s="77" cm="1">
        <f t="array" ref="R2">INDEX($B2:$L2, 1, VLOOKUP(Config!$B$3, Config!$E$2:$F$12, 2, FALSE)-1)</f>
        <v>40</v>
      </c>
      <c r="S2" s="70">
        <f t="shared" ref="S2:S27" si="0">Q2*1000000 + R2*1000 + N2</f>
        <v>40040395</v>
      </c>
      <c r="T2" s="70">
        <f t="shared" ref="T2:T27" si="1">RANK(S2, $S$2:$S$100, 0)</f>
        <v>24</v>
      </c>
      <c r="U2"/>
      <c r="V2"/>
      <c r="W2"/>
      <c r="X2"/>
      <c r="Y2"/>
      <c r="Z2"/>
      <c r="AA2"/>
      <c r="AB2"/>
      <c r="AC2"/>
      <c r="AD2"/>
      <c r="AE2"/>
      <c r="AF2"/>
      <c r="AG2"/>
      <c r="AH2"/>
      <c r="AI2"/>
      <c r="AJ2"/>
      <c r="AK2"/>
      <c r="AL2"/>
      <c r="AM2"/>
      <c r="AN2"/>
      <c r="AO2"/>
      <c r="AP2"/>
      <c r="AQ2"/>
      <c r="AR2"/>
    </row>
    <row r="3" spans="1:44" s="75" customFormat="1" ht="17" customHeight="1" x14ac:dyDescent="0.35">
      <c r="A3" s="75" t="s">
        <v>83</v>
      </c>
      <c r="B3" s="75">
        <v>30</v>
      </c>
      <c r="C3" s="75">
        <v>40</v>
      </c>
      <c r="D3" s="75">
        <v>30</v>
      </c>
      <c r="E3" s="75">
        <v>40</v>
      </c>
      <c r="F3" s="75">
        <v>40</v>
      </c>
      <c r="G3" s="75">
        <v>30</v>
      </c>
      <c r="H3" s="75">
        <v>40</v>
      </c>
      <c r="I3" s="75">
        <v>10</v>
      </c>
      <c r="J3" s="75">
        <v>13</v>
      </c>
      <c r="K3" s="75">
        <v>14</v>
      </c>
      <c r="L3" s="75">
        <v>36</v>
      </c>
      <c r="M3" s="75">
        <f>SUMPRODUCT(Table4[[#This Row],[Physical]:[Beasthood]],Utility!$H$9:$R$9)</f>
        <v>153.30000000000001</v>
      </c>
      <c r="N3" s="75">
        <f>SUM(Table4[[#This Row],[Physical]:[Frenzy]])</f>
        <v>287</v>
      </c>
      <c r="O3" s="75">
        <f>RANK(Table4[[#This Row],[TOTAL]],Table4[TOTAL])</f>
        <v>26</v>
      </c>
      <c r="P3" s="75">
        <f>RANK(O3,$O$2:$O$100,1)+COUNTIF($O$1:O2,O3)</f>
        <v>26</v>
      </c>
      <c r="Q3" s="75" cm="1">
        <f t="array" ref="Q3">INDEX($B3:$L3, 1, VLOOKUP(Config!$B$2, Config!$E$2:$F$12, 2, FALSE)-1)</f>
        <v>30</v>
      </c>
      <c r="R3" s="75" cm="1">
        <f t="array" ref="R3">INDEX($B3:$L3, 1, VLOOKUP(Config!$B$3, Config!$E$2:$F$12, 2, FALSE)-1)</f>
        <v>30</v>
      </c>
      <c r="S3" s="75">
        <f t="shared" si="0"/>
        <v>30030287</v>
      </c>
      <c r="T3" s="75">
        <f t="shared" si="1"/>
        <v>26</v>
      </c>
      <c r="U3"/>
      <c r="V3"/>
      <c r="W3"/>
      <c r="X3"/>
      <c r="Y3"/>
      <c r="Z3"/>
      <c r="AA3"/>
      <c r="AB3"/>
      <c r="AC3"/>
      <c r="AD3"/>
      <c r="AE3"/>
      <c r="AF3"/>
      <c r="AG3"/>
      <c r="AH3"/>
      <c r="AI3"/>
      <c r="AJ3"/>
      <c r="AK3"/>
      <c r="AL3"/>
      <c r="AM3"/>
      <c r="AN3"/>
      <c r="AO3"/>
      <c r="AP3"/>
      <c r="AQ3"/>
      <c r="AR3"/>
    </row>
    <row r="4" spans="1:44" s="75" customFormat="1" ht="17" customHeight="1" x14ac:dyDescent="0.35">
      <c r="A4" s="75" t="s">
        <v>84</v>
      </c>
      <c r="B4" s="75">
        <v>60</v>
      </c>
      <c r="C4" s="75">
        <v>30</v>
      </c>
      <c r="D4" s="75">
        <v>50</v>
      </c>
      <c r="E4" s="75">
        <v>30</v>
      </c>
      <c r="F4" s="75">
        <v>40</v>
      </c>
      <c r="G4" s="75">
        <v>70</v>
      </c>
      <c r="H4" s="75">
        <v>70</v>
      </c>
      <c r="I4" s="75">
        <v>17</v>
      </c>
      <c r="J4" s="75">
        <v>15</v>
      </c>
      <c r="K4" s="75">
        <v>22</v>
      </c>
      <c r="L4" s="75">
        <v>13</v>
      </c>
      <c r="M4" s="75">
        <f>SUMPRODUCT(Table4[[#This Row],[Physical]:[Beasthood]],Utility!$H$9:$R$9)</f>
        <v>218.5</v>
      </c>
      <c r="N4" s="75">
        <f>SUM(Table4[[#This Row],[Physical]:[Frenzy]])</f>
        <v>404</v>
      </c>
      <c r="O4" s="75">
        <f>RANK(Table4[[#This Row],[TOTAL]],Table4[TOTAL])</f>
        <v>15</v>
      </c>
      <c r="P4" s="75">
        <f>RANK(O4,$O$2:$O$100,1)+COUNTIF($O$1:O3,O4)</f>
        <v>15</v>
      </c>
      <c r="Q4" s="75" cm="1">
        <f t="array" ref="Q4">INDEX($B4:$L4, 1, VLOOKUP(Config!$B$2, Config!$E$2:$F$12, 2, FALSE)-1)</f>
        <v>70</v>
      </c>
      <c r="R4" s="75" cm="1">
        <f t="array" ref="R4">INDEX($B4:$L4, 1, VLOOKUP(Config!$B$3, Config!$E$2:$F$12, 2, FALSE)-1)</f>
        <v>60</v>
      </c>
      <c r="S4" s="75">
        <f t="shared" si="0"/>
        <v>70060404</v>
      </c>
      <c r="T4" s="75">
        <f t="shared" si="1"/>
        <v>3</v>
      </c>
      <c r="U4"/>
      <c r="V4"/>
      <c r="W4"/>
      <c r="X4"/>
      <c r="Y4"/>
      <c r="Z4"/>
      <c r="AA4"/>
      <c r="AB4"/>
      <c r="AC4"/>
      <c r="AD4"/>
      <c r="AE4"/>
      <c r="AF4"/>
      <c r="AG4"/>
      <c r="AH4"/>
      <c r="AI4"/>
      <c r="AJ4"/>
      <c r="AK4"/>
      <c r="AL4"/>
      <c r="AM4"/>
      <c r="AN4"/>
      <c r="AO4"/>
      <c r="AP4"/>
      <c r="AQ4"/>
      <c r="AR4"/>
    </row>
    <row r="5" spans="1:44" s="75" customFormat="1" ht="17" customHeight="1" x14ac:dyDescent="0.35">
      <c r="A5" s="75" t="s">
        <v>85</v>
      </c>
      <c r="B5" s="75">
        <v>60</v>
      </c>
      <c r="C5" s="75">
        <v>40</v>
      </c>
      <c r="D5" s="75">
        <v>60</v>
      </c>
      <c r="E5" s="75">
        <v>40</v>
      </c>
      <c r="F5" s="75">
        <v>50</v>
      </c>
      <c r="G5" s="75">
        <v>40</v>
      </c>
      <c r="H5" s="75">
        <v>60</v>
      </c>
      <c r="I5" s="75">
        <v>27</v>
      </c>
      <c r="J5" s="75">
        <v>31</v>
      </c>
      <c r="K5" s="75">
        <v>17</v>
      </c>
      <c r="L5" s="75">
        <v>15</v>
      </c>
      <c r="M5" s="75">
        <f>SUMPRODUCT(Table4[[#This Row],[Physical]:[Beasthood]],Utility!$H$9:$R$9)</f>
        <v>222.6</v>
      </c>
      <c r="N5" s="75">
        <f>SUM(Table4[[#This Row],[Physical]:[Frenzy]])</f>
        <v>425</v>
      </c>
      <c r="O5" s="75">
        <f>RANK(Table4[[#This Row],[TOTAL]],Table4[TOTAL])</f>
        <v>8</v>
      </c>
      <c r="P5" s="75">
        <f>RANK(O5,$O$2:$O$100,1)+COUNTIF($O$1:O4,O5)</f>
        <v>8</v>
      </c>
      <c r="Q5" s="75" cm="1">
        <f t="array" ref="Q5">INDEX($B5:$L5, 1, VLOOKUP(Config!$B$2, Config!$E$2:$F$12, 2, FALSE)-1)</f>
        <v>40</v>
      </c>
      <c r="R5" s="75" cm="1">
        <f t="array" ref="R5">INDEX($B5:$L5, 1, VLOOKUP(Config!$B$3, Config!$E$2:$F$12, 2, FALSE)-1)</f>
        <v>60</v>
      </c>
      <c r="S5" s="75">
        <f t="shared" si="0"/>
        <v>40060425</v>
      </c>
      <c r="T5" s="75">
        <f t="shared" si="1"/>
        <v>21</v>
      </c>
      <c r="U5"/>
      <c r="V5"/>
      <c r="W5"/>
      <c r="X5"/>
      <c r="Y5"/>
      <c r="Z5"/>
      <c r="AA5"/>
      <c r="AB5"/>
      <c r="AC5"/>
      <c r="AD5"/>
      <c r="AE5"/>
      <c r="AF5"/>
      <c r="AG5"/>
      <c r="AH5"/>
      <c r="AI5"/>
      <c r="AJ5"/>
      <c r="AK5"/>
      <c r="AL5"/>
      <c r="AM5"/>
      <c r="AN5"/>
      <c r="AO5"/>
      <c r="AP5"/>
      <c r="AQ5"/>
      <c r="AR5"/>
    </row>
    <row r="6" spans="1:44" s="75" customFormat="1" ht="17" customHeight="1" x14ac:dyDescent="0.35">
      <c r="A6" s="75" t="s">
        <v>86</v>
      </c>
      <c r="B6" s="75">
        <v>60</v>
      </c>
      <c r="C6" s="75">
        <v>30</v>
      </c>
      <c r="D6" s="75">
        <v>50</v>
      </c>
      <c r="E6" s="75">
        <v>70</v>
      </c>
      <c r="F6" s="75">
        <v>40</v>
      </c>
      <c r="G6" s="75">
        <v>40</v>
      </c>
      <c r="H6" s="75">
        <v>30</v>
      </c>
      <c r="I6" s="75">
        <v>19</v>
      </c>
      <c r="J6" s="75">
        <v>21</v>
      </c>
      <c r="K6" s="75">
        <v>13</v>
      </c>
      <c r="L6" s="75">
        <v>11</v>
      </c>
      <c r="M6" s="75">
        <f>SUMPRODUCT(Table4[[#This Row],[Physical]:[Beasthood]],Utility!$H$9:$R$9)</f>
        <v>204.5</v>
      </c>
      <c r="N6" s="75">
        <f>SUM(Table4[[#This Row],[Physical]:[Frenzy]])</f>
        <v>373</v>
      </c>
      <c r="O6" s="75">
        <f>RANK(Table4[[#This Row],[TOTAL]],Table4[TOTAL])</f>
        <v>23</v>
      </c>
      <c r="P6" s="75">
        <f>RANK(O6,$O$2:$O$100,1)+COUNTIF($O$1:O5,O6)</f>
        <v>23</v>
      </c>
      <c r="Q6" s="75" cm="1">
        <f t="array" ref="Q6">INDEX($B6:$L6, 1, VLOOKUP(Config!$B$2, Config!$E$2:$F$12, 2, FALSE)-1)</f>
        <v>40</v>
      </c>
      <c r="R6" s="75" cm="1">
        <f t="array" ref="R6">INDEX($B6:$L6, 1, VLOOKUP(Config!$B$3, Config!$E$2:$F$12, 2, FALSE)-1)</f>
        <v>60</v>
      </c>
      <c r="S6" s="75">
        <f t="shared" si="0"/>
        <v>40060373</v>
      </c>
      <c r="T6" s="75">
        <f t="shared" si="1"/>
        <v>22</v>
      </c>
      <c r="U6"/>
      <c r="V6"/>
      <c r="W6"/>
      <c r="X6"/>
      <c r="Y6"/>
      <c r="Z6"/>
      <c r="AA6"/>
      <c r="AB6"/>
      <c r="AC6"/>
      <c r="AD6"/>
      <c r="AE6"/>
      <c r="AF6"/>
      <c r="AG6"/>
      <c r="AH6"/>
      <c r="AI6"/>
      <c r="AJ6"/>
      <c r="AK6"/>
      <c r="AL6"/>
      <c r="AM6"/>
      <c r="AN6"/>
      <c r="AO6"/>
      <c r="AP6"/>
      <c r="AQ6"/>
      <c r="AR6"/>
    </row>
    <row r="7" spans="1:44" s="75" customFormat="1" ht="17" customHeight="1" x14ac:dyDescent="0.35">
      <c r="A7" s="75" t="s">
        <v>87</v>
      </c>
      <c r="B7" s="75">
        <v>60</v>
      </c>
      <c r="C7" s="75">
        <v>40</v>
      </c>
      <c r="D7" s="75">
        <v>40</v>
      </c>
      <c r="E7" s="75">
        <v>50</v>
      </c>
      <c r="F7" s="75">
        <v>40</v>
      </c>
      <c r="G7" s="75">
        <v>70</v>
      </c>
      <c r="H7" s="75">
        <v>40</v>
      </c>
      <c r="I7" s="75">
        <v>15</v>
      </c>
      <c r="J7" s="75">
        <v>20</v>
      </c>
      <c r="K7" s="75">
        <v>24</v>
      </c>
      <c r="L7" s="75">
        <v>30</v>
      </c>
      <c r="M7" s="75">
        <f>SUMPRODUCT(Table4[[#This Row],[Physical]:[Beasthood]],Utility!$H$9:$R$9)</f>
        <v>218.4</v>
      </c>
      <c r="N7" s="75">
        <f>SUM(Table4[[#This Row],[Physical]:[Frenzy]])</f>
        <v>399</v>
      </c>
      <c r="O7" s="75">
        <f>RANK(Table4[[#This Row],[TOTAL]],Table4[TOTAL])</f>
        <v>16</v>
      </c>
      <c r="P7" s="75">
        <f>RANK(O7,$O$2:$O$100,1)+COUNTIF($O$1:O6,O7)</f>
        <v>16</v>
      </c>
      <c r="Q7" s="75" cm="1">
        <f t="array" ref="Q7">INDEX($B7:$L7, 1, VLOOKUP(Config!$B$2, Config!$E$2:$F$12, 2, FALSE)-1)</f>
        <v>70</v>
      </c>
      <c r="R7" s="75" cm="1">
        <f t="array" ref="R7">INDEX($B7:$L7, 1, VLOOKUP(Config!$B$3, Config!$E$2:$F$12, 2, FALSE)-1)</f>
        <v>60</v>
      </c>
      <c r="S7" s="75">
        <f t="shared" si="0"/>
        <v>70060399</v>
      </c>
      <c r="T7" s="75">
        <f t="shared" si="1"/>
        <v>4</v>
      </c>
      <c r="U7"/>
      <c r="V7"/>
      <c r="W7"/>
      <c r="X7"/>
      <c r="Y7"/>
      <c r="Z7"/>
      <c r="AA7"/>
      <c r="AB7"/>
      <c r="AC7"/>
      <c r="AD7"/>
      <c r="AE7"/>
      <c r="AF7"/>
      <c r="AG7"/>
      <c r="AH7"/>
      <c r="AI7"/>
      <c r="AJ7"/>
      <c r="AK7"/>
      <c r="AL7"/>
      <c r="AM7"/>
      <c r="AN7"/>
      <c r="AO7"/>
      <c r="AP7"/>
      <c r="AQ7"/>
      <c r="AR7"/>
    </row>
    <row r="8" spans="1:44" s="75" customFormat="1" ht="17" customHeight="1" x14ac:dyDescent="0.35">
      <c r="A8" s="75" t="s">
        <v>88</v>
      </c>
      <c r="B8" s="75">
        <v>40</v>
      </c>
      <c r="C8" s="75">
        <v>40</v>
      </c>
      <c r="D8" s="75">
        <v>40</v>
      </c>
      <c r="E8" s="75">
        <v>40</v>
      </c>
      <c r="F8" s="75">
        <v>70</v>
      </c>
      <c r="G8" s="75">
        <v>60</v>
      </c>
      <c r="H8" s="75">
        <v>70</v>
      </c>
      <c r="I8" s="75">
        <v>24</v>
      </c>
      <c r="J8" s="75">
        <v>20</v>
      </c>
      <c r="K8" s="75">
        <v>8</v>
      </c>
      <c r="L8" s="75">
        <v>20</v>
      </c>
      <c r="M8" s="75">
        <f>SUMPRODUCT(Table4[[#This Row],[Physical]:[Beasthood]],Utility!$H$9:$R$9)</f>
        <v>215.4</v>
      </c>
      <c r="N8" s="75">
        <f>SUM(Table4[[#This Row],[Physical]:[Frenzy]])</f>
        <v>412</v>
      </c>
      <c r="O8" s="75">
        <f>RANK(Table4[[#This Row],[TOTAL]],Table4[TOTAL])</f>
        <v>18</v>
      </c>
      <c r="P8" s="75">
        <f>RANK(O8,$O$2:$O$100,1)+COUNTIF($O$1:O7,O8)</f>
        <v>18</v>
      </c>
      <c r="Q8" s="75" cm="1">
        <f t="array" ref="Q8">INDEX($B8:$L8, 1, VLOOKUP(Config!$B$2, Config!$E$2:$F$12, 2, FALSE)-1)</f>
        <v>60</v>
      </c>
      <c r="R8" s="75" cm="1">
        <f t="array" ref="R8">INDEX($B8:$L8, 1, VLOOKUP(Config!$B$3, Config!$E$2:$F$12, 2, FALSE)-1)</f>
        <v>40</v>
      </c>
      <c r="S8" s="75">
        <f t="shared" si="0"/>
        <v>60040412</v>
      </c>
      <c r="T8" s="75">
        <f t="shared" si="1"/>
        <v>11</v>
      </c>
      <c r="U8"/>
      <c r="V8"/>
      <c r="W8"/>
      <c r="X8"/>
      <c r="Y8"/>
      <c r="Z8"/>
      <c r="AA8"/>
      <c r="AB8"/>
      <c r="AC8"/>
      <c r="AD8"/>
      <c r="AE8"/>
      <c r="AF8"/>
      <c r="AG8"/>
      <c r="AH8"/>
      <c r="AI8"/>
      <c r="AJ8"/>
      <c r="AK8"/>
      <c r="AL8"/>
      <c r="AM8"/>
      <c r="AN8"/>
      <c r="AO8"/>
      <c r="AP8"/>
      <c r="AQ8"/>
      <c r="AR8"/>
    </row>
    <row r="9" spans="1:44" s="75" customFormat="1" ht="17" customHeight="1" x14ac:dyDescent="0.35">
      <c r="A9" s="75" t="s">
        <v>89</v>
      </c>
      <c r="B9" s="75">
        <v>60</v>
      </c>
      <c r="C9" s="75">
        <v>60</v>
      </c>
      <c r="D9" s="75">
        <v>50</v>
      </c>
      <c r="E9" s="75">
        <v>50</v>
      </c>
      <c r="F9" s="75">
        <v>50</v>
      </c>
      <c r="G9" s="75">
        <v>60</v>
      </c>
      <c r="H9" s="75">
        <v>60</v>
      </c>
      <c r="I9" s="75">
        <v>32</v>
      </c>
      <c r="J9" s="75">
        <v>17</v>
      </c>
      <c r="K9" s="75">
        <v>12</v>
      </c>
      <c r="L9" s="75">
        <v>31</v>
      </c>
      <c r="M9" s="75">
        <f>SUMPRODUCT(Table4[[#This Row],[Physical]:[Beasthood]],Utility!$H$9:$R$9)</f>
        <v>247.5</v>
      </c>
      <c r="N9" s="75">
        <f>SUM(Table4[[#This Row],[Physical]:[Frenzy]])</f>
        <v>451</v>
      </c>
      <c r="O9" s="75">
        <f>RANK(Table4[[#This Row],[TOTAL]],Table4[TOTAL])</f>
        <v>1</v>
      </c>
      <c r="P9" s="75">
        <f>RANK(O9,$O$2:$O$100,1)+COUNTIF($O$1:O8,O9)</f>
        <v>1</v>
      </c>
      <c r="Q9" s="75" cm="1">
        <f t="array" ref="Q9">INDEX($B9:$L9, 1, VLOOKUP(Config!$B$2, Config!$E$2:$F$12, 2, FALSE)-1)</f>
        <v>60</v>
      </c>
      <c r="R9" s="75" cm="1">
        <f t="array" ref="R9">INDEX($B9:$L9, 1, VLOOKUP(Config!$B$3, Config!$E$2:$F$12, 2, FALSE)-1)</f>
        <v>60</v>
      </c>
      <c r="S9" s="75">
        <f t="shared" si="0"/>
        <v>60060451</v>
      </c>
      <c r="T9" s="75">
        <f t="shared" si="1"/>
        <v>5</v>
      </c>
      <c r="U9"/>
      <c r="V9"/>
      <c r="W9"/>
      <c r="X9"/>
      <c r="Y9"/>
      <c r="Z9"/>
      <c r="AA9"/>
      <c r="AB9"/>
      <c r="AC9"/>
      <c r="AD9"/>
      <c r="AE9"/>
      <c r="AF9"/>
      <c r="AG9"/>
      <c r="AH9"/>
      <c r="AI9"/>
      <c r="AJ9"/>
      <c r="AK9"/>
      <c r="AL9"/>
      <c r="AM9"/>
      <c r="AN9"/>
      <c r="AO9"/>
      <c r="AP9"/>
      <c r="AQ9"/>
      <c r="AR9"/>
    </row>
    <row r="10" spans="1:44" s="75" customFormat="1" ht="17" customHeight="1" x14ac:dyDescent="0.35">
      <c r="A10" s="75" t="s">
        <v>90</v>
      </c>
      <c r="B10" s="75">
        <v>40</v>
      </c>
      <c r="C10" s="75">
        <v>60</v>
      </c>
      <c r="D10" s="75">
        <v>50</v>
      </c>
      <c r="E10" s="75">
        <v>70</v>
      </c>
      <c r="F10" s="75">
        <v>50</v>
      </c>
      <c r="G10" s="75">
        <v>50</v>
      </c>
      <c r="H10" s="75">
        <v>50</v>
      </c>
      <c r="I10" s="75">
        <v>15</v>
      </c>
      <c r="J10" s="75">
        <v>20</v>
      </c>
      <c r="K10" s="75">
        <v>25</v>
      </c>
      <c r="L10" s="75">
        <v>11</v>
      </c>
      <c r="M10" s="75">
        <f>SUMPRODUCT(Table4[[#This Row],[Physical]:[Beasthood]],Utility!$H$9:$R$9)</f>
        <v>226.5</v>
      </c>
      <c r="N10" s="75">
        <f>SUM(Table4[[#This Row],[Physical]:[Frenzy]])</f>
        <v>430</v>
      </c>
      <c r="O10" s="75">
        <f>RANK(Table4[[#This Row],[TOTAL]],Table4[TOTAL])</f>
        <v>5</v>
      </c>
      <c r="P10" s="75">
        <f>RANK(O10,$O$2:$O$100,1)+COUNTIF($O$1:O9,O10)</f>
        <v>5</v>
      </c>
      <c r="Q10" s="75" cm="1">
        <f t="array" ref="Q10">INDEX($B10:$L10, 1, VLOOKUP(Config!$B$2, Config!$E$2:$F$12, 2, FALSE)-1)</f>
        <v>50</v>
      </c>
      <c r="R10" s="75" cm="1">
        <f t="array" ref="R10">INDEX($B10:$L10, 1, VLOOKUP(Config!$B$3, Config!$E$2:$F$12, 2, FALSE)-1)</f>
        <v>40</v>
      </c>
      <c r="S10" s="75">
        <f t="shared" si="0"/>
        <v>50040430</v>
      </c>
      <c r="T10" s="75">
        <f t="shared" si="1"/>
        <v>16</v>
      </c>
      <c r="U10"/>
      <c r="V10"/>
      <c r="W10"/>
      <c r="X10"/>
      <c r="Y10"/>
      <c r="Z10"/>
      <c r="AA10"/>
      <c r="AB10"/>
      <c r="AC10"/>
      <c r="AD10"/>
      <c r="AE10"/>
      <c r="AF10"/>
      <c r="AG10"/>
      <c r="AH10"/>
      <c r="AI10"/>
      <c r="AJ10"/>
      <c r="AK10"/>
      <c r="AL10"/>
      <c r="AM10"/>
      <c r="AN10"/>
      <c r="AO10"/>
      <c r="AP10"/>
      <c r="AQ10"/>
      <c r="AR10"/>
    </row>
    <row r="11" spans="1:44" s="75" customFormat="1" ht="17" customHeight="1" x14ac:dyDescent="0.35">
      <c r="A11" s="75" t="s">
        <v>91</v>
      </c>
      <c r="B11" s="75">
        <v>30</v>
      </c>
      <c r="C11" s="75">
        <v>30</v>
      </c>
      <c r="D11" s="75">
        <v>30</v>
      </c>
      <c r="E11" s="75">
        <v>40</v>
      </c>
      <c r="F11" s="75">
        <v>40</v>
      </c>
      <c r="G11" s="75">
        <v>50</v>
      </c>
      <c r="H11" s="75">
        <v>40</v>
      </c>
      <c r="I11" s="75">
        <v>22</v>
      </c>
      <c r="J11" s="75">
        <v>16</v>
      </c>
      <c r="K11" s="75">
        <v>20</v>
      </c>
      <c r="L11" s="75">
        <v>16</v>
      </c>
      <c r="M11" s="75">
        <f>SUMPRODUCT(Table4[[#This Row],[Physical]:[Beasthood]],Utility!$H$9:$R$9)</f>
        <v>157.30000000000001</v>
      </c>
      <c r="N11" s="75">
        <f>SUM(Table4[[#This Row],[Physical]:[Frenzy]])</f>
        <v>318</v>
      </c>
      <c r="O11" s="75">
        <f>RANK(Table4[[#This Row],[TOTAL]],Table4[TOTAL])</f>
        <v>24</v>
      </c>
      <c r="P11" s="75">
        <f>RANK(O11,$O$2:$O$100,1)+COUNTIF($O$1:O10,O11)</f>
        <v>24</v>
      </c>
      <c r="Q11" s="75" cm="1">
        <f t="array" ref="Q11">INDEX($B11:$L11, 1, VLOOKUP(Config!$B$2, Config!$E$2:$F$12, 2, FALSE)-1)</f>
        <v>50</v>
      </c>
      <c r="R11" s="75" cm="1">
        <f t="array" ref="R11">INDEX($B11:$L11, 1, VLOOKUP(Config!$B$3, Config!$E$2:$F$12, 2, FALSE)-1)</f>
        <v>30</v>
      </c>
      <c r="S11" s="75">
        <f t="shared" si="0"/>
        <v>50030318</v>
      </c>
      <c r="T11" s="75">
        <f t="shared" si="1"/>
        <v>20</v>
      </c>
      <c r="U11"/>
      <c r="V11"/>
      <c r="W11"/>
      <c r="X11"/>
      <c r="Y11"/>
      <c r="Z11"/>
      <c r="AA11"/>
      <c r="AB11"/>
      <c r="AC11"/>
      <c r="AD11"/>
      <c r="AE11"/>
      <c r="AF11"/>
      <c r="AG11"/>
      <c r="AH11"/>
      <c r="AI11"/>
      <c r="AJ11"/>
      <c r="AK11"/>
      <c r="AL11"/>
      <c r="AM11"/>
      <c r="AN11"/>
      <c r="AO11"/>
      <c r="AP11"/>
      <c r="AQ11"/>
      <c r="AR11"/>
    </row>
    <row r="12" spans="1:44" s="75" customFormat="1" ht="17" customHeight="1" x14ac:dyDescent="0.35">
      <c r="A12" s="75" t="s">
        <v>92</v>
      </c>
      <c r="B12" s="75">
        <v>40</v>
      </c>
      <c r="C12" s="75">
        <v>60</v>
      </c>
      <c r="D12" s="75">
        <v>40</v>
      </c>
      <c r="E12" s="75">
        <v>50</v>
      </c>
      <c r="F12" s="75">
        <v>60</v>
      </c>
      <c r="G12" s="75">
        <v>50</v>
      </c>
      <c r="H12" s="75">
        <v>50</v>
      </c>
      <c r="I12" s="75">
        <v>26</v>
      </c>
      <c r="J12" s="75">
        <v>24</v>
      </c>
      <c r="K12" s="75">
        <v>9</v>
      </c>
      <c r="L12" s="75">
        <v>24</v>
      </c>
      <c r="M12" s="75">
        <f>SUMPRODUCT(Table4[[#This Row],[Physical]:[Beasthood]],Utility!$H$9:$R$9)</f>
        <v>217.4</v>
      </c>
      <c r="N12" s="75">
        <f>SUM(Table4[[#This Row],[Physical]:[Frenzy]])</f>
        <v>409</v>
      </c>
      <c r="O12" s="75">
        <f>RANK(Table4[[#This Row],[TOTAL]],Table4[TOTAL])</f>
        <v>17</v>
      </c>
      <c r="P12" s="75">
        <f>RANK(O12,$O$2:$O$100,1)+COUNTIF($O$1:O11,O12)</f>
        <v>17</v>
      </c>
      <c r="Q12" s="75" cm="1">
        <f t="array" ref="Q12">INDEX($B12:$L12, 1, VLOOKUP(Config!$B$2, Config!$E$2:$F$12, 2, FALSE)-1)</f>
        <v>50</v>
      </c>
      <c r="R12" s="75" cm="1">
        <f t="array" ref="R12">INDEX($B12:$L12, 1, VLOOKUP(Config!$B$3, Config!$E$2:$F$12, 2, FALSE)-1)</f>
        <v>40</v>
      </c>
      <c r="S12" s="75">
        <f t="shared" si="0"/>
        <v>50040409</v>
      </c>
      <c r="T12" s="75">
        <f t="shared" si="1"/>
        <v>18</v>
      </c>
      <c r="U12"/>
      <c r="V12"/>
      <c r="W12"/>
      <c r="X12"/>
      <c r="Y12"/>
      <c r="Z12"/>
      <c r="AA12"/>
      <c r="AB12"/>
      <c r="AC12"/>
      <c r="AD12"/>
      <c r="AE12"/>
      <c r="AF12"/>
      <c r="AG12"/>
      <c r="AH12"/>
      <c r="AI12"/>
      <c r="AJ12"/>
      <c r="AK12"/>
      <c r="AL12"/>
      <c r="AM12"/>
      <c r="AN12"/>
      <c r="AO12"/>
      <c r="AP12"/>
      <c r="AQ12"/>
      <c r="AR12"/>
    </row>
    <row r="13" spans="1:44" s="75" customFormat="1" ht="17" customHeight="1" x14ac:dyDescent="0.35">
      <c r="A13" s="75" t="s">
        <v>93</v>
      </c>
      <c r="B13" s="75">
        <v>40</v>
      </c>
      <c r="C13" s="75">
        <v>60</v>
      </c>
      <c r="D13" s="75">
        <v>60</v>
      </c>
      <c r="E13" s="75">
        <v>50</v>
      </c>
      <c r="F13" s="75">
        <v>60</v>
      </c>
      <c r="G13" s="75">
        <v>60</v>
      </c>
      <c r="H13" s="75">
        <v>40</v>
      </c>
      <c r="I13" s="75">
        <v>28</v>
      </c>
      <c r="J13" s="75">
        <v>21</v>
      </c>
      <c r="K13" s="75">
        <v>12</v>
      </c>
      <c r="L13" s="75">
        <v>24</v>
      </c>
      <c r="M13" s="75">
        <f>SUMPRODUCT(Table4[[#This Row],[Physical]:[Beasthood]],Utility!$H$9:$R$9)</f>
        <v>234.6</v>
      </c>
      <c r="N13" s="75">
        <f>SUM(Table4[[#This Row],[Physical]:[Frenzy]])</f>
        <v>431</v>
      </c>
      <c r="O13" s="75">
        <f>RANK(Table4[[#This Row],[TOTAL]],Table4[TOTAL])</f>
        <v>3</v>
      </c>
      <c r="P13" s="75">
        <f>RANK(O13,$O$2:$O$100,1)+COUNTIF($O$1:O12,O13)</f>
        <v>3</v>
      </c>
      <c r="Q13" s="75" cm="1">
        <f t="array" ref="Q13">INDEX($B13:$L13, 1, VLOOKUP(Config!$B$2, Config!$E$2:$F$12, 2, FALSE)-1)</f>
        <v>60</v>
      </c>
      <c r="R13" s="75" cm="1">
        <f t="array" ref="R13">INDEX($B13:$L13, 1, VLOOKUP(Config!$B$3, Config!$E$2:$F$12, 2, FALSE)-1)</f>
        <v>40</v>
      </c>
      <c r="S13" s="75">
        <f t="shared" si="0"/>
        <v>60040431</v>
      </c>
      <c r="T13" s="75">
        <f t="shared" si="1"/>
        <v>9</v>
      </c>
      <c r="U13"/>
      <c r="V13"/>
      <c r="W13"/>
      <c r="X13"/>
      <c r="Y13"/>
      <c r="Z13"/>
      <c r="AA13"/>
      <c r="AB13"/>
      <c r="AC13"/>
      <c r="AD13"/>
      <c r="AE13"/>
      <c r="AF13"/>
      <c r="AG13"/>
      <c r="AH13"/>
      <c r="AI13"/>
      <c r="AJ13"/>
      <c r="AK13"/>
      <c r="AL13"/>
      <c r="AM13"/>
      <c r="AN13"/>
      <c r="AO13"/>
      <c r="AP13"/>
      <c r="AQ13"/>
      <c r="AR13"/>
    </row>
    <row r="14" spans="1:44" s="75" customFormat="1" ht="17" customHeight="1" x14ac:dyDescent="0.35">
      <c r="A14" s="75" t="s">
        <v>94</v>
      </c>
      <c r="B14" s="75">
        <v>40</v>
      </c>
      <c r="C14" s="75">
        <v>50</v>
      </c>
      <c r="D14" s="75">
        <v>50</v>
      </c>
      <c r="E14" s="75">
        <v>50</v>
      </c>
      <c r="F14" s="75">
        <v>60</v>
      </c>
      <c r="G14" s="75">
        <v>50</v>
      </c>
      <c r="H14" s="75">
        <v>60</v>
      </c>
      <c r="I14" s="75">
        <v>27</v>
      </c>
      <c r="J14" s="75">
        <v>26</v>
      </c>
      <c r="K14" s="75">
        <v>26</v>
      </c>
      <c r="L14" s="75">
        <v>22</v>
      </c>
      <c r="M14" s="75">
        <f>SUMPRODUCT(Table4[[#This Row],[Physical]:[Beasthood]],Utility!$H$9:$R$9)</f>
        <v>219.5</v>
      </c>
      <c r="N14" s="75">
        <f>SUM(Table4[[#This Row],[Physical]:[Frenzy]])</f>
        <v>439</v>
      </c>
      <c r="O14" s="75">
        <f>RANK(Table4[[#This Row],[TOTAL]],Table4[TOTAL])</f>
        <v>13</v>
      </c>
      <c r="P14" s="75">
        <f>RANK(O14,$O$2:$O$100,1)+COUNTIF($O$1:O13,O14)</f>
        <v>13</v>
      </c>
      <c r="Q14" s="75" cm="1">
        <f t="array" ref="Q14">INDEX($B14:$L14, 1, VLOOKUP(Config!$B$2, Config!$E$2:$F$12, 2, FALSE)-1)</f>
        <v>50</v>
      </c>
      <c r="R14" s="75" cm="1">
        <f t="array" ref="R14">INDEX($B14:$L14, 1, VLOOKUP(Config!$B$3, Config!$E$2:$F$12, 2, FALSE)-1)</f>
        <v>40</v>
      </c>
      <c r="S14" s="75">
        <f t="shared" si="0"/>
        <v>50040439</v>
      </c>
      <c r="T14" s="75">
        <f t="shared" si="1"/>
        <v>15</v>
      </c>
      <c r="U14"/>
      <c r="V14"/>
      <c r="W14"/>
      <c r="X14"/>
      <c r="Y14"/>
      <c r="Z14"/>
      <c r="AA14"/>
      <c r="AB14"/>
      <c r="AC14"/>
      <c r="AD14"/>
      <c r="AE14"/>
      <c r="AF14"/>
      <c r="AG14"/>
      <c r="AH14"/>
      <c r="AI14"/>
      <c r="AJ14"/>
      <c r="AK14"/>
      <c r="AL14"/>
      <c r="AM14"/>
      <c r="AN14"/>
      <c r="AO14"/>
      <c r="AP14"/>
      <c r="AQ14"/>
      <c r="AR14"/>
    </row>
    <row r="15" spans="1:44" s="75" customFormat="1" ht="17" customHeight="1" x14ac:dyDescent="0.35">
      <c r="A15" s="75" t="s">
        <v>95</v>
      </c>
      <c r="B15" s="75">
        <v>60</v>
      </c>
      <c r="C15" s="75">
        <v>40</v>
      </c>
      <c r="D15" s="75">
        <v>40</v>
      </c>
      <c r="E15" s="75">
        <v>60</v>
      </c>
      <c r="F15" s="75">
        <v>50</v>
      </c>
      <c r="G15" s="75">
        <v>50</v>
      </c>
      <c r="H15" s="75">
        <v>50</v>
      </c>
      <c r="I15" s="75">
        <v>35</v>
      </c>
      <c r="J15" s="75">
        <v>31</v>
      </c>
      <c r="K15" s="75">
        <v>4</v>
      </c>
      <c r="L15" s="75">
        <v>25</v>
      </c>
      <c r="M15" s="75">
        <f>SUMPRODUCT(Table4[[#This Row],[Physical]:[Beasthood]],Utility!$H$9:$R$9)</f>
        <v>219.4</v>
      </c>
      <c r="N15" s="75">
        <f>SUM(Table4[[#This Row],[Physical]:[Frenzy]])</f>
        <v>420</v>
      </c>
      <c r="O15" s="75">
        <f>RANK(Table4[[#This Row],[TOTAL]],Table4[TOTAL])</f>
        <v>14</v>
      </c>
      <c r="P15" s="75">
        <f>RANK(O15,$O$2:$O$100,1)+COUNTIF($O$1:O14,O15)</f>
        <v>14</v>
      </c>
      <c r="Q15" s="75" cm="1">
        <f t="array" ref="Q15">INDEX($B15:$L15, 1, VLOOKUP(Config!$B$2, Config!$E$2:$F$12, 2, FALSE)-1)</f>
        <v>50</v>
      </c>
      <c r="R15" s="75" cm="1">
        <f t="array" ref="R15">INDEX($B15:$L15, 1, VLOOKUP(Config!$B$3, Config!$E$2:$F$12, 2, FALSE)-1)</f>
        <v>60</v>
      </c>
      <c r="S15" s="75">
        <f t="shared" si="0"/>
        <v>50060420</v>
      </c>
      <c r="T15" s="75">
        <f t="shared" si="1"/>
        <v>13</v>
      </c>
      <c r="U15"/>
      <c r="V15"/>
      <c r="W15"/>
      <c r="X15"/>
      <c r="Y15"/>
      <c r="Z15"/>
      <c r="AA15"/>
      <c r="AB15"/>
      <c r="AC15"/>
      <c r="AD15"/>
      <c r="AE15"/>
      <c r="AF15"/>
      <c r="AG15"/>
      <c r="AH15"/>
      <c r="AI15"/>
      <c r="AJ15"/>
      <c r="AK15"/>
      <c r="AL15"/>
      <c r="AM15"/>
      <c r="AN15"/>
      <c r="AO15"/>
      <c r="AP15"/>
      <c r="AQ15"/>
      <c r="AR15"/>
    </row>
    <row r="16" spans="1:44" s="75" customFormat="1" ht="17" customHeight="1" x14ac:dyDescent="0.35">
      <c r="A16" s="75" t="s">
        <v>96</v>
      </c>
      <c r="B16" s="75">
        <v>50</v>
      </c>
      <c r="C16" s="75">
        <v>40</v>
      </c>
      <c r="D16" s="75">
        <v>50</v>
      </c>
      <c r="E16" s="75">
        <v>40</v>
      </c>
      <c r="F16" s="75">
        <v>50</v>
      </c>
      <c r="G16" s="75">
        <v>60</v>
      </c>
      <c r="H16" s="75">
        <v>70</v>
      </c>
      <c r="I16" s="75">
        <v>11</v>
      </c>
      <c r="J16" s="75">
        <v>22</v>
      </c>
      <c r="K16" s="75">
        <v>23</v>
      </c>
      <c r="L16" s="75">
        <v>32</v>
      </c>
      <c r="M16" s="75">
        <f>SUMPRODUCT(Table4[[#This Row],[Physical]:[Beasthood]],Utility!$H$9:$R$9)</f>
        <v>220.5</v>
      </c>
      <c r="N16" s="75">
        <f>SUM(Table4[[#This Row],[Physical]:[Frenzy]])</f>
        <v>416</v>
      </c>
      <c r="O16" s="75">
        <f>RANK(Table4[[#This Row],[TOTAL]],Table4[TOTAL])</f>
        <v>10</v>
      </c>
      <c r="P16" s="75">
        <f>RANK(O16,$O$2:$O$100,1)+COUNTIF($O$1:O15,O16)</f>
        <v>10</v>
      </c>
      <c r="Q16" s="75" cm="1">
        <f t="array" ref="Q16">INDEX($B16:$L16, 1, VLOOKUP(Config!$B$2, Config!$E$2:$F$12, 2, FALSE)-1)</f>
        <v>60</v>
      </c>
      <c r="R16" s="75" cm="1">
        <f t="array" ref="R16">INDEX($B16:$L16, 1, VLOOKUP(Config!$B$3, Config!$E$2:$F$12, 2, FALSE)-1)</f>
        <v>50</v>
      </c>
      <c r="S16" s="75">
        <f t="shared" si="0"/>
        <v>60050416</v>
      </c>
      <c r="T16" s="75">
        <f t="shared" si="1"/>
        <v>6</v>
      </c>
      <c r="U16"/>
      <c r="V16"/>
      <c r="W16"/>
      <c r="X16"/>
      <c r="Y16"/>
      <c r="Z16"/>
      <c r="AA16"/>
      <c r="AB16"/>
      <c r="AC16"/>
      <c r="AD16"/>
      <c r="AE16"/>
      <c r="AF16"/>
      <c r="AG16"/>
      <c r="AH16"/>
      <c r="AI16"/>
      <c r="AJ16"/>
      <c r="AK16"/>
      <c r="AL16"/>
      <c r="AM16"/>
      <c r="AN16"/>
      <c r="AO16"/>
      <c r="AP16"/>
      <c r="AQ16"/>
      <c r="AR16"/>
    </row>
    <row r="17" spans="1:44" s="75" customFormat="1" ht="17" customHeight="1" x14ac:dyDescent="0.35">
      <c r="A17" s="75" t="s">
        <v>97</v>
      </c>
      <c r="B17" s="75">
        <v>50</v>
      </c>
      <c r="C17" s="75">
        <v>50</v>
      </c>
      <c r="D17" s="75">
        <v>50</v>
      </c>
      <c r="E17" s="75">
        <v>50</v>
      </c>
      <c r="F17" s="75">
        <v>40</v>
      </c>
      <c r="G17" s="75">
        <v>60</v>
      </c>
      <c r="H17" s="75">
        <v>50</v>
      </c>
      <c r="I17" s="75">
        <v>9</v>
      </c>
      <c r="J17" s="75">
        <v>17</v>
      </c>
      <c r="K17" s="75">
        <v>27</v>
      </c>
      <c r="L17" s="75">
        <v>25</v>
      </c>
      <c r="M17" s="75">
        <f>SUMPRODUCT(Table4[[#This Row],[Physical]:[Beasthood]],Utility!$H$9:$R$9)</f>
        <v>220.5</v>
      </c>
      <c r="N17" s="75">
        <f>SUM(Table4[[#This Row],[Physical]:[Frenzy]])</f>
        <v>403</v>
      </c>
      <c r="O17" s="75">
        <f>RANK(Table4[[#This Row],[TOTAL]],Table4[TOTAL])</f>
        <v>10</v>
      </c>
      <c r="P17" s="75">
        <f>RANK(O17,$O$2:$O$100,1)+COUNTIF($O$1:O16,O17)</f>
        <v>11</v>
      </c>
      <c r="Q17" s="75" cm="1">
        <f t="array" ref="Q17">INDEX($B17:$L17, 1, VLOOKUP(Config!$B$2, Config!$E$2:$F$12, 2, FALSE)-1)</f>
        <v>60</v>
      </c>
      <c r="R17" s="75" cm="1">
        <f t="array" ref="R17">INDEX($B17:$L17, 1, VLOOKUP(Config!$B$3, Config!$E$2:$F$12, 2, FALSE)-1)</f>
        <v>50</v>
      </c>
      <c r="S17" s="75">
        <f t="shared" si="0"/>
        <v>60050403</v>
      </c>
      <c r="T17" s="75">
        <f t="shared" si="1"/>
        <v>7</v>
      </c>
      <c r="U17"/>
      <c r="V17"/>
      <c r="W17"/>
      <c r="X17"/>
      <c r="Y17"/>
      <c r="Z17"/>
      <c r="AA17"/>
      <c r="AB17"/>
      <c r="AC17"/>
      <c r="AD17"/>
      <c r="AE17"/>
      <c r="AF17"/>
      <c r="AG17"/>
      <c r="AH17"/>
      <c r="AI17"/>
      <c r="AJ17"/>
      <c r="AK17"/>
      <c r="AL17"/>
      <c r="AM17"/>
      <c r="AN17"/>
      <c r="AO17"/>
      <c r="AP17"/>
      <c r="AQ17"/>
      <c r="AR17"/>
    </row>
    <row r="18" spans="1:44" s="75" customFormat="1" ht="17" customHeight="1" x14ac:dyDescent="0.35">
      <c r="A18" s="75" t="s">
        <v>98</v>
      </c>
      <c r="B18" s="75">
        <v>40</v>
      </c>
      <c r="C18" s="75">
        <v>50</v>
      </c>
      <c r="D18" s="75">
        <v>50</v>
      </c>
      <c r="E18" s="75">
        <v>70</v>
      </c>
      <c r="F18" s="75">
        <v>40</v>
      </c>
      <c r="G18" s="75">
        <v>50</v>
      </c>
      <c r="H18" s="75">
        <v>50</v>
      </c>
      <c r="I18" s="75">
        <v>13</v>
      </c>
      <c r="J18" s="75">
        <v>22</v>
      </c>
      <c r="K18" s="75">
        <v>21</v>
      </c>
      <c r="L18" s="75">
        <v>19</v>
      </c>
      <c r="M18" s="75">
        <f>SUMPRODUCT(Table4[[#This Row],[Physical]:[Beasthood]],Utility!$H$9:$R$9)</f>
        <v>212.5</v>
      </c>
      <c r="N18" s="75">
        <f>SUM(Table4[[#This Row],[Physical]:[Frenzy]])</f>
        <v>406</v>
      </c>
      <c r="O18" s="75">
        <f>RANK(Table4[[#This Row],[TOTAL]],Table4[TOTAL])</f>
        <v>20</v>
      </c>
      <c r="P18" s="75">
        <f>RANK(O18,$O$2:$O$100,1)+COUNTIF($O$1:O17,O18)</f>
        <v>20</v>
      </c>
      <c r="Q18" s="75" cm="1">
        <f t="array" ref="Q18">INDEX($B18:$L18, 1, VLOOKUP(Config!$B$2, Config!$E$2:$F$12, 2, FALSE)-1)</f>
        <v>50</v>
      </c>
      <c r="R18" s="75" cm="1">
        <f t="array" ref="R18">INDEX($B18:$L18, 1, VLOOKUP(Config!$B$3, Config!$E$2:$F$12, 2, FALSE)-1)</f>
        <v>40</v>
      </c>
      <c r="S18" s="75">
        <f t="shared" si="0"/>
        <v>50040406</v>
      </c>
      <c r="T18" s="75">
        <f t="shared" si="1"/>
        <v>19</v>
      </c>
      <c r="U18"/>
      <c r="V18"/>
      <c r="W18"/>
      <c r="X18"/>
      <c r="Y18"/>
      <c r="Z18"/>
      <c r="AA18"/>
      <c r="AB18"/>
      <c r="AC18"/>
      <c r="AD18"/>
      <c r="AE18"/>
      <c r="AF18"/>
      <c r="AG18"/>
      <c r="AH18"/>
      <c r="AI18"/>
      <c r="AJ18"/>
      <c r="AK18"/>
      <c r="AL18"/>
      <c r="AM18"/>
      <c r="AN18"/>
      <c r="AO18"/>
      <c r="AP18"/>
      <c r="AQ18"/>
      <c r="AR18"/>
    </row>
    <row r="19" spans="1:44" s="75" customFormat="1" ht="17" customHeight="1" x14ac:dyDescent="0.35">
      <c r="A19" s="75" t="s">
        <v>99</v>
      </c>
      <c r="B19" s="75">
        <v>40</v>
      </c>
      <c r="C19" s="75">
        <v>40</v>
      </c>
      <c r="D19" s="75">
        <v>50</v>
      </c>
      <c r="E19" s="75">
        <v>40</v>
      </c>
      <c r="F19" s="75">
        <v>60</v>
      </c>
      <c r="G19" s="75">
        <v>60</v>
      </c>
      <c r="H19" s="75">
        <v>60</v>
      </c>
      <c r="I19" s="75">
        <v>29</v>
      </c>
      <c r="J19" s="75">
        <v>27</v>
      </c>
      <c r="K19" s="75">
        <v>1</v>
      </c>
      <c r="L19" s="75">
        <v>15</v>
      </c>
      <c r="M19" s="75">
        <f>SUMPRODUCT(Table4[[#This Row],[Physical]:[Beasthood]],Utility!$H$9:$R$9)</f>
        <v>213.5</v>
      </c>
      <c r="N19" s="75">
        <f>SUM(Table4[[#This Row],[Physical]:[Frenzy]])</f>
        <v>407</v>
      </c>
      <c r="O19" s="75">
        <f>RANK(Table4[[#This Row],[TOTAL]],Table4[TOTAL])</f>
        <v>19</v>
      </c>
      <c r="P19" s="75">
        <f>RANK(O19,$O$2:$O$100,1)+COUNTIF($O$1:O18,O19)</f>
        <v>19</v>
      </c>
      <c r="Q19" s="75" cm="1">
        <f t="array" ref="Q19">INDEX($B19:$L19, 1, VLOOKUP(Config!$B$2, Config!$E$2:$F$12, 2, FALSE)-1)</f>
        <v>60</v>
      </c>
      <c r="R19" s="75" cm="1">
        <f t="array" ref="R19">INDEX($B19:$L19, 1, VLOOKUP(Config!$B$3, Config!$E$2:$F$12, 2, FALSE)-1)</f>
        <v>40</v>
      </c>
      <c r="S19" s="75">
        <f t="shared" si="0"/>
        <v>60040407</v>
      </c>
      <c r="T19" s="75">
        <f t="shared" si="1"/>
        <v>12</v>
      </c>
      <c r="U19"/>
      <c r="V19"/>
      <c r="W19"/>
      <c r="X19"/>
      <c r="Y19"/>
      <c r="Z19"/>
      <c r="AA19"/>
      <c r="AB19"/>
      <c r="AC19"/>
      <c r="AD19"/>
      <c r="AE19"/>
      <c r="AF19"/>
      <c r="AG19"/>
      <c r="AH19"/>
      <c r="AI19"/>
      <c r="AJ19"/>
      <c r="AK19"/>
      <c r="AL19"/>
      <c r="AM19"/>
      <c r="AN19"/>
      <c r="AO19"/>
      <c r="AP19"/>
      <c r="AQ19"/>
      <c r="AR19"/>
    </row>
    <row r="20" spans="1:44" s="75" customFormat="1" ht="17" customHeight="1" x14ac:dyDescent="0.35">
      <c r="A20" s="75" t="s">
        <v>100</v>
      </c>
      <c r="B20" s="75">
        <v>50</v>
      </c>
      <c r="C20" s="75">
        <v>50</v>
      </c>
      <c r="D20" s="75">
        <v>50</v>
      </c>
      <c r="E20" s="75">
        <v>70</v>
      </c>
      <c r="F20" s="75">
        <v>50</v>
      </c>
      <c r="G20" s="75">
        <v>50</v>
      </c>
      <c r="H20" s="75">
        <v>50</v>
      </c>
      <c r="I20" s="75">
        <v>10</v>
      </c>
      <c r="J20" s="75">
        <v>27</v>
      </c>
      <c r="K20" s="75">
        <v>15</v>
      </c>
      <c r="L20" s="75">
        <v>8</v>
      </c>
      <c r="M20" s="75">
        <f>SUMPRODUCT(Table4[[#This Row],[Physical]:[Beasthood]],Utility!$H$9:$R$9)</f>
        <v>228.5</v>
      </c>
      <c r="N20" s="75">
        <f>SUM(Table4[[#This Row],[Physical]:[Frenzy]])</f>
        <v>422</v>
      </c>
      <c r="O20" s="75">
        <f>RANK(Table4[[#This Row],[TOTAL]],Table4[TOTAL])</f>
        <v>4</v>
      </c>
      <c r="P20" s="75">
        <f>RANK(O20,$O$2:$O$100,1)+COUNTIF($O$1:O19,O20)</f>
        <v>4</v>
      </c>
      <c r="Q20" s="75" cm="1">
        <f t="array" ref="Q20">INDEX($B20:$L20, 1, VLOOKUP(Config!$B$2, Config!$E$2:$F$12, 2, FALSE)-1)</f>
        <v>50</v>
      </c>
      <c r="R20" s="75" cm="1">
        <f t="array" ref="R20">INDEX($B20:$L20, 1, VLOOKUP(Config!$B$3, Config!$E$2:$F$12, 2, FALSE)-1)</f>
        <v>50</v>
      </c>
      <c r="S20" s="75">
        <f t="shared" si="0"/>
        <v>50050422</v>
      </c>
      <c r="T20" s="75">
        <f t="shared" si="1"/>
        <v>14</v>
      </c>
      <c r="U20"/>
      <c r="V20"/>
      <c r="W20"/>
      <c r="X20"/>
      <c r="Y20"/>
      <c r="Z20"/>
      <c r="AA20"/>
      <c r="AB20"/>
      <c r="AC20"/>
      <c r="AD20"/>
      <c r="AE20"/>
      <c r="AF20"/>
      <c r="AG20"/>
      <c r="AH20"/>
      <c r="AI20"/>
      <c r="AJ20"/>
      <c r="AK20"/>
      <c r="AL20"/>
      <c r="AM20"/>
      <c r="AN20"/>
      <c r="AO20"/>
      <c r="AP20"/>
      <c r="AQ20"/>
      <c r="AR20"/>
    </row>
    <row r="21" spans="1:44" s="75" customFormat="1" ht="17" customHeight="1" x14ac:dyDescent="0.35">
      <c r="A21" s="75" t="s">
        <v>101</v>
      </c>
      <c r="B21" s="75">
        <v>40</v>
      </c>
      <c r="C21" s="75">
        <v>40</v>
      </c>
      <c r="D21" s="75">
        <v>40</v>
      </c>
      <c r="E21" s="75">
        <v>50</v>
      </c>
      <c r="F21" s="75">
        <v>60</v>
      </c>
      <c r="G21" s="75">
        <v>90</v>
      </c>
      <c r="H21" s="75">
        <v>50</v>
      </c>
      <c r="I21" s="75">
        <v>19</v>
      </c>
      <c r="J21" s="75">
        <v>17</v>
      </c>
      <c r="K21" s="75">
        <v>12</v>
      </c>
      <c r="L21" s="75">
        <v>11</v>
      </c>
      <c r="M21" s="75">
        <f>SUMPRODUCT(Table4[[#This Row],[Physical]:[Beasthood]],Utility!$H$9:$R$9)</f>
        <v>225.4</v>
      </c>
      <c r="N21" s="75">
        <f>SUM(Table4[[#This Row],[Physical]:[Frenzy]])</f>
        <v>418</v>
      </c>
      <c r="O21" s="75">
        <f>RANK(Table4[[#This Row],[TOTAL]],Table4[TOTAL])</f>
        <v>6</v>
      </c>
      <c r="P21" s="75">
        <f>RANK(O21,$O$2:$O$100,1)+COUNTIF($O$1:O20,O21)</f>
        <v>6</v>
      </c>
      <c r="Q21" s="75" cm="1">
        <f t="array" ref="Q21">INDEX($B21:$L21, 1, VLOOKUP(Config!$B$2, Config!$E$2:$F$12, 2, FALSE)-1)</f>
        <v>90</v>
      </c>
      <c r="R21" s="75" cm="1">
        <f t="array" ref="R21">INDEX($B21:$L21, 1, VLOOKUP(Config!$B$3, Config!$E$2:$F$12, 2, FALSE)-1)</f>
        <v>40</v>
      </c>
      <c r="S21" s="75">
        <f t="shared" si="0"/>
        <v>90040418</v>
      </c>
      <c r="T21" s="75">
        <f t="shared" si="1"/>
        <v>1</v>
      </c>
      <c r="U21"/>
      <c r="V21"/>
      <c r="W21"/>
      <c r="X21"/>
      <c r="Y21"/>
      <c r="Z21"/>
      <c r="AA21"/>
      <c r="AB21"/>
      <c r="AC21"/>
      <c r="AD21"/>
      <c r="AE21"/>
      <c r="AF21"/>
      <c r="AG21"/>
      <c r="AH21"/>
      <c r="AI21"/>
      <c r="AJ21"/>
      <c r="AK21"/>
      <c r="AL21"/>
      <c r="AM21"/>
      <c r="AN21"/>
      <c r="AO21"/>
      <c r="AP21"/>
      <c r="AQ21"/>
      <c r="AR21"/>
    </row>
    <row r="22" spans="1:44" s="75" customFormat="1" ht="17" customHeight="1" x14ac:dyDescent="0.35">
      <c r="A22" s="75" t="s">
        <v>102</v>
      </c>
      <c r="B22" s="75">
        <v>60</v>
      </c>
      <c r="C22" s="75">
        <v>50</v>
      </c>
      <c r="D22" s="75">
        <v>50</v>
      </c>
      <c r="E22" s="75">
        <v>60</v>
      </c>
      <c r="F22" s="75">
        <v>50</v>
      </c>
      <c r="G22" s="75">
        <v>70</v>
      </c>
      <c r="H22" s="75">
        <v>40</v>
      </c>
      <c r="I22" s="75">
        <v>10</v>
      </c>
      <c r="J22" s="75">
        <v>10</v>
      </c>
      <c r="K22" s="75">
        <v>23</v>
      </c>
      <c r="L22" s="75">
        <v>29</v>
      </c>
      <c r="M22" s="75">
        <f>SUMPRODUCT(Table4[[#This Row],[Physical]:[Beasthood]],Utility!$H$9:$R$9)</f>
        <v>243.5</v>
      </c>
      <c r="N22" s="75">
        <f>SUM(Table4[[#This Row],[Physical]:[Frenzy]])</f>
        <v>423</v>
      </c>
      <c r="O22" s="75">
        <f>RANK(Table4[[#This Row],[TOTAL]],Table4[TOTAL])</f>
        <v>2</v>
      </c>
      <c r="P22" s="75">
        <f>RANK(O22,$O$2:$O$100,1)+COUNTIF($O$1:O21,O22)</f>
        <v>2</v>
      </c>
      <c r="Q22" s="75" cm="1">
        <f t="array" ref="Q22">INDEX($B22:$L22, 1, VLOOKUP(Config!$B$2, Config!$E$2:$F$12, 2, FALSE)-1)</f>
        <v>70</v>
      </c>
      <c r="R22" s="75" cm="1">
        <f t="array" ref="R22">INDEX($B22:$L22, 1, VLOOKUP(Config!$B$3, Config!$E$2:$F$12, 2, FALSE)-1)</f>
        <v>60</v>
      </c>
      <c r="S22" s="75">
        <f t="shared" si="0"/>
        <v>70060423</v>
      </c>
      <c r="T22" s="75">
        <f t="shared" si="1"/>
        <v>2</v>
      </c>
      <c r="U22"/>
      <c r="V22"/>
      <c r="W22"/>
      <c r="X22"/>
      <c r="Y22"/>
      <c r="Z22"/>
      <c r="AA22"/>
      <c r="AB22"/>
      <c r="AC22"/>
      <c r="AD22"/>
      <c r="AE22"/>
      <c r="AF22"/>
      <c r="AG22"/>
      <c r="AH22"/>
      <c r="AI22"/>
      <c r="AJ22"/>
      <c r="AK22"/>
      <c r="AL22"/>
      <c r="AM22"/>
      <c r="AN22"/>
      <c r="AO22"/>
      <c r="AP22"/>
      <c r="AQ22"/>
      <c r="AR22"/>
    </row>
    <row r="23" spans="1:44" s="75" customFormat="1" ht="17" customHeight="1" x14ac:dyDescent="0.35">
      <c r="A23" s="75" t="s">
        <v>103</v>
      </c>
      <c r="B23" s="75">
        <v>30</v>
      </c>
      <c r="C23" s="75">
        <v>40</v>
      </c>
      <c r="D23" s="75">
        <v>30</v>
      </c>
      <c r="E23" s="75">
        <v>30</v>
      </c>
      <c r="F23" s="75">
        <v>40</v>
      </c>
      <c r="G23" s="75">
        <v>40</v>
      </c>
      <c r="H23" s="75">
        <v>40</v>
      </c>
      <c r="I23" s="75">
        <v>14</v>
      </c>
      <c r="J23" s="75">
        <v>10</v>
      </c>
      <c r="K23" s="75">
        <v>14</v>
      </c>
      <c r="L23" s="75">
        <v>8</v>
      </c>
      <c r="M23" s="75">
        <f>SUMPRODUCT(Table4[[#This Row],[Physical]:[Beasthood]],Utility!$H$9:$R$9)</f>
        <v>155.30000000000001</v>
      </c>
      <c r="N23" s="75">
        <f>SUM(Table4[[#This Row],[Physical]:[Frenzy]])</f>
        <v>288</v>
      </c>
      <c r="O23" s="75">
        <f>RANK(Table4[[#This Row],[TOTAL]],Table4[TOTAL])</f>
        <v>25</v>
      </c>
      <c r="P23" s="75">
        <f>RANK(O23,$O$2:$O$100,1)+COUNTIF($O$1:O22,O23)</f>
        <v>25</v>
      </c>
      <c r="Q23" s="75" cm="1">
        <f t="array" ref="Q23">INDEX($B23:$L23, 1, VLOOKUP(Config!$B$2, Config!$E$2:$F$12, 2, FALSE)-1)</f>
        <v>40</v>
      </c>
      <c r="R23" s="75" cm="1">
        <f t="array" ref="R23">INDEX($B23:$L23, 1, VLOOKUP(Config!$B$3, Config!$E$2:$F$12, 2, FALSE)-1)</f>
        <v>30</v>
      </c>
      <c r="S23" s="75">
        <f t="shared" si="0"/>
        <v>40030288</v>
      </c>
      <c r="T23" s="75">
        <f t="shared" si="1"/>
        <v>25</v>
      </c>
      <c r="U23"/>
      <c r="V23"/>
      <c r="W23"/>
      <c r="X23"/>
      <c r="Y23"/>
      <c r="Z23"/>
      <c r="AA23"/>
      <c r="AB23"/>
      <c r="AC23"/>
      <c r="AD23"/>
      <c r="AE23"/>
      <c r="AF23"/>
      <c r="AG23"/>
      <c r="AH23"/>
      <c r="AI23"/>
      <c r="AJ23"/>
      <c r="AK23"/>
      <c r="AL23"/>
      <c r="AM23"/>
      <c r="AN23"/>
      <c r="AO23"/>
      <c r="AP23"/>
      <c r="AQ23"/>
      <c r="AR23"/>
    </row>
    <row r="24" spans="1:44" s="75" customFormat="1" ht="17" customHeight="1" x14ac:dyDescent="0.35">
      <c r="A24" s="75" t="s">
        <v>104</v>
      </c>
      <c r="B24" s="75">
        <v>40</v>
      </c>
      <c r="C24" s="75">
        <v>40</v>
      </c>
      <c r="D24" s="75">
        <v>50</v>
      </c>
      <c r="E24" s="75">
        <v>70</v>
      </c>
      <c r="F24" s="75">
        <v>50</v>
      </c>
      <c r="G24" s="75">
        <v>50</v>
      </c>
      <c r="H24" s="75">
        <v>50</v>
      </c>
      <c r="I24" s="75">
        <v>32</v>
      </c>
      <c r="J24" s="75">
        <v>31</v>
      </c>
      <c r="K24" s="75">
        <v>4</v>
      </c>
      <c r="L24" s="75">
        <v>22</v>
      </c>
      <c r="M24" s="75">
        <f>SUMPRODUCT(Table4[[#This Row],[Physical]:[Beasthood]],Utility!$H$9:$R$9)</f>
        <v>210.5</v>
      </c>
      <c r="N24" s="75">
        <f>SUM(Table4[[#This Row],[Physical]:[Frenzy]])</f>
        <v>417</v>
      </c>
      <c r="O24" s="75">
        <f>RANK(Table4[[#This Row],[TOTAL]],Table4[TOTAL])</f>
        <v>21</v>
      </c>
      <c r="P24" s="75">
        <f>RANK(O24,$O$2:$O$100,1)+COUNTIF($O$1:O23,O24)</f>
        <v>21</v>
      </c>
      <c r="Q24" s="75" cm="1">
        <f t="array" ref="Q24">INDEX($B24:$L24, 1, VLOOKUP(Config!$B$2, Config!$E$2:$F$12, 2, FALSE)-1)</f>
        <v>50</v>
      </c>
      <c r="R24" s="75" cm="1">
        <f t="array" ref="R24">INDEX($B24:$L24, 1, VLOOKUP(Config!$B$3, Config!$E$2:$F$12, 2, FALSE)-1)</f>
        <v>40</v>
      </c>
      <c r="S24" s="75">
        <f t="shared" si="0"/>
        <v>50040417</v>
      </c>
      <c r="T24" s="75">
        <f t="shared" si="1"/>
        <v>17</v>
      </c>
      <c r="U24"/>
      <c r="V24"/>
      <c r="W24"/>
      <c r="X24"/>
      <c r="Y24"/>
      <c r="Z24"/>
      <c r="AA24"/>
      <c r="AB24"/>
      <c r="AC24"/>
      <c r="AD24"/>
      <c r="AE24"/>
      <c r="AF24"/>
      <c r="AG24"/>
      <c r="AH24"/>
      <c r="AI24"/>
      <c r="AJ24"/>
      <c r="AK24"/>
      <c r="AL24"/>
      <c r="AM24"/>
      <c r="AN24"/>
      <c r="AO24"/>
      <c r="AP24"/>
      <c r="AQ24"/>
      <c r="AR24"/>
    </row>
    <row r="25" spans="1:44" s="75" customFormat="1" ht="17" customHeight="1" x14ac:dyDescent="0.35">
      <c r="A25" s="75" t="s">
        <v>105</v>
      </c>
      <c r="B25" s="75">
        <v>40</v>
      </c>
      <c r="C25" s="75">
        <v>40</v>
      </c>
      <c r="D25" s="75">
        <v>60</v>
      </c>
      <c r="E25" s="75">
        <v>50</v>
      </c>
      <c r="F25" s="75">
        <v>60</v>
      </c>
      <c r="G25" s="75">
        <v>60</v>
      </c>
      <c r="H25" s="75">
        <v>60</v>
      </c>
      <c r="I25" s="75">
        <v>29</v>
      </c>
      <c r="J25" s="75">
        <v>27</v>
      </c>
      <c r="K25" s="75">
        <v>6</v>
      </c>
      <c r="L25" s="75">
        <v>24</v>
      </c>
      <c r="M25" s="75">
        <f>SUMPRODUCT(Table4[[#This Row],[Physical]:[Beasthood]],Utility!$H$9:$R$9)</f>
        <v>224.6</v>
      </c>
      <c r="N25" s="75">
        <f>SUM(Table4[[#This Row],[Physical]:[Frenzy]])</f>
        <v>432</v>
      </c>
      <c r="O25" s="75">
        <f>RANK(Table4[[#This Row],[TOTAL]],Table4[TOTAL])</f>
        <v>7</v>
      </c>
      <c r="P25" s="75">
        <f>RANK(O25,$O$2:$O$100,1)+COUNTIF($O$1:O24,O25)</f>
        <v>7</v>
      </c>
      <c r="Q25" s="75" cm="1">
        <f t="array" ref="Q25">INDEX($B25:$L25, 1, VLOOKUP(Config!$B$2, Config!$E$2:$F$12, 2, FALSE)-1)</f>
        <v>60</v>
      </c>
      <c r="R25" s="75" cm="1">
        <f t="array" ref="R25">INDEX($B25:$L25, 1, VLOOKUP(Config!$B$3, Config!$E$2:$F$12, 2, FALSE)-1)</f>
        <v>40</v>
      </c>
      <c r="S25" s="75">
        <f t="shared" si="0"/>
        <v>60040432</v>
      </c>
      <c r="T25" s="75">
        <f t="shared" si="1"/>
        <v>8</v>
      </c>
      <c r="U25"/>
      <c r="V25"/>
      <c r="W25"/>
      <c r="X25"/>
      <c r="Y25"/>
      <c r="Z25"/>
      <c r="AA25"/>
      <c r="AB25"/>
      <c r="AC25"/>
      <c r="AD25"/>
      <c r="AE25"/>
      <c r="AF25"/>
      <c r="AG25"/>
      <c r="AH25"/>
      <c r="AI25"/>
      <c r="AJ25"/>
      <c r="AK25"/>
      <c r="AL25"/>
      <c r="AM25"/>
      <c r="AN25"/>
      <c r="AO25"/>
      <c r="AP25"/>
      <c r="AQ25"/>
      <c r="AR25"/>
    </row>
    <row r="26" spans="1:44" s="75" customFormat="1" ht="17" customHeight="1" x14ac:dyDescent="0.35">
      <c r="A26" s="75" t="s">
        <v>106</v>
      </c>
      <c r="B26" s="75">
        <v>50</v>
      </c>
      <c r="C26" s="75">
        <v>60</v>
      </c>
      <c r="D26" s="75">
        <v>60</v>
      </c>
      <c r="E26" s="75">
        <v>50</v>
      </c>
      <c r="F26" s="75">
        <v>40</v>
      </c>
      <c r="G26" s="75">
        <v>40</v>
      </c>
      <c r="H26" s="75">
        <v>40</v>
      </c>
      <c r="I26" s="75">
        <v>24</v>
      </c>
      <c r="J26" s="75">
        <v>20</v>
      </c>
      <c r="K26" s="75">
        <v>22</v>
      </c>
      <c r="L26" s="75">
        <v>20</v>
      </c>
      <c r="M26" s="75">
        <f>SUMPRODUCT(Table4[[#This Row],[Physical]:[Beasthood]],Utility!$H$9:$R$9)</f>
        <v>220.6</v>
      </c>
      <c r="N26" s="75">
        <f>SUM(Table4[[#This Row],[Physical]:[Frenzy]])</f>
        <v>406</v>
      </c>
      <c r="O26" s="75">
        <f>RANK(Table4[[#This Row],[TOTAL]],Table4[TOTAL])</f>
        <v>9</v>
      </c>
      <c r="P26" s="75">
        <f>RANK(O26,$O$2:$O$100,1)+COUNTIF($O$1:O25,O26)</f>
        <v>9</v>
      </c>
      <c r="Q26" s="75" cm="1">
        <f t="array" ref="Q26">INDEX($B26:$L26, 1, VLOOKUP(Config!$B$2, Config!$E$2:$F$12, 2, FALSE)-1)</f>
        <v>40</v>
      </c>
      <c r="R26" s="75" cm="1">
        <f t="array" ref="R26">INDEX($B26:$L26, 1, VLOOKUP(Config!$B$3, Config!$E$2:$F$12, 2, FALSE)-1)</f>
        <v>50</v>
      </c>
      <c r="S26" s="75">
        <f t="shared" si="0"/>
        <v>40050406</v>
      </c>
      <c r="T26" s="75">
        <f t="shared" si="1"/>
        <v>23</v>
      </c>
      <c r="U26"/>
      <c r="V26"/>
      <c r="W26"/>
      <c r="X26"/>
      <c r="Y26"/>
      <c r="Z26"/>
      <c r="AA26"/>
      <c r="AB26"/>
      <c r="AC26"/>
      <c r="AD26"/>
      <c r="AE26"/>
      <c r="AF26"/>
      <c r="AG26"/>
      <c r="AH26"/>
      <c r="AI26"/>
      <c r="AJ26"/>
      <c r="AK26"/>
      <c r="AL26"/>
      <c r="AM26"/>
      <c r="AN26"/>
      <c r="AO26"/>
      <c r="AP26"/>
      <c r="AQ26"/>
      <c r="AR26"/>
    </row>
    <row r="27" spans="1:44" s="76" customFormat="1" ht="17" customHeight="1" x14ac:dyDescent="0.35">
      <c r="A27" s="76" t="s">
        <v>107</v>
      </c>
      <c r="B27" s="76">
        <v>40</v>
      </c>
      <c r="C27" s="76">
        <v>50</v>
      </c>
      <c r="D27" s="76">
        <v>60</v>
      </c>
      <c r="E27" s="76">
        <v>40</v>
      </c>
      <c r="F27" s="76">
        <v>50</v>
      </c>
      <c r="G27" s="76">
        <v>60</v>
      </c>
      <c r="H27" s="76">
        <v>50</v>
      </c>
      <c r="I27" s="76">
        <v>25</v>
      </c>
      <c r="J27" s="76">
        <v>22</v>
      </c>
      <c r="K27" s="76">
        <v>22</v>
      </c>
      <c r="L27" s="76">
        <v>25</v>
      </c>
      <c r="M27" s="76">
        <f>SUMPRODUCT(Table4[[#This Row],[Physical]:[Beasthood]],Utility!$H$9:$R$9)</f>
        <v>219.6</v>
      </c>
      <c r="N27" s="76">
        <f>SUM(Table4[[#This Row],[Physical]:[Frenzy]])</f>
        <v>419</v>
      </c>
      <c r="O27" s="76">
        <f>RANK(Table4[[#This Row],[TOTAL]],Table4[TOTAL])</f>
        <v>12</v>
      </c>
      <c r="P27" s="76">
        <f>RANK(O27,$O$2:$O$100,1)+COUNTIF($O$1:O26,O27)</f>
        <v>12</v>
      </c>
      <c r="Q27" s="76" cm="1">
        <f t="array" ref="Q27">INDEX($B27:$L27, 1, VLOOKUP(Config!$B$2, Config!$E$2:$F$12, 2, FALSE)-1)</f>
        <v>60</v>
      </c>
      <c r="R27" s="76" cm="1">
        <f t="array" ref="R27">INDEX($B27:$L27, 1, VLOOKUP(Config!$B$3, Config!$E$2:$F$12, 2, FALSE)-1)</f>
        <v>40</v>
      </c>
      <c r="S27" s="76">
        <f t="shared" si="0"/>
        <v>60040419</v>
      </c>
      <c r="T27" s="76">
        <f t="shared" si="1"/>
        <v>10</v>
      </c>
      <c r="U27"/>
      <c r="V27"/>
      <c r="W27"/>
      <c r="X27"/>
      <c r="Y27"/>
      <c r="Z27"/>
      <c r="AA27"/>
      <c r="AB27"/>
      <c r="AC27"/>
      <c r="AD27"/>
      <c r="AE27"/>
      <c r="AF27"/>
      <c r="AG27"/>
      <c r="AH27"/>
      <c r="AI27"/>
      <c r="AJ27"/>
      <c r="AK27"/>
      <c r="AL27"/>
      <c r="AM27"/>
      <c r="AN27"/>
      <c r="AO27"/>
      <c r="AP27"/>
      <c r="AQ27"/>
      <c r="AR27"/>
    </row>
  </sheetData>
  <conditionalFormatting sqref="B2:L27">
    <cfRule type="colorScale" priority="2">
      <colorScale>
        <cfvo type="min"/>
        <cfvo type="percentile" val="50"/>
        <cfvo type="max"/>
        <color rgb="FFF8696B"/>
        <color rgb="FFFFEB84"/>
        <color rgb="FF63BE7B"/>
      </colorScale>
    </cfRule>
  </conditionalFormatting>
  <conditionalFormatting sqref="M2:M27">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91019-8AA4-443F-BE5F-78A6EEE727E9}">
  <sheetPr codeName="Sheet6"/>
  <dimension ref="A1:T32"/>
  <sheetViews>
    <sheetView workbookViewId="0">
      <selection activeCell="M1" sqref="M1:T2"/>
    </sheetView>
  </sheetViews>
  <sheetFormatPr defaultRowHeight="14.5" x14ac:dyDescent="0.35"/>
  <cols>
    <col min="1" max="1" width="25.6328125" customWidth="1"/>
    <col min="2" max="2" width="9.36328125" customWidth="1"/>
    <col min="12" max="12" width="11.26953125" customWidth="1"/>
  </cols>
  <sheetData>
    <row r="1" spans="1:20" x14ac:dyDescent="0.35">
      <c r="A1" s="7" t="s">
        <v>141</v>
      </c>
      <c r="B1" t="s">
        <v>0</v>
      </c>
      <c r="C1" t="s">
        <v>1</v>
      </c>
      <c r="D1" t="s">
        <v>2</v>
      </c>
      <c r="E1" t="s">
        <v>3</v>
      </c>
      <c r="F1" t="s">
        <v>4</v>
      </c>
      <c r="G1" t="s">
        <v>5</v>
      </c>
      <c r="H1" t="s">
        <v>6</v>
      </c>
      <c r="I1" t="s">
        <v>7</v>
      </c>
      <c r="J1" t="s">
        <v>8</v>
      </c>
      <c r="K1" t="s">
        <v>9</v>
      </c>
      <c r="L1" t="s">
        <v>10</v>
      </c>
      <c r="M1" t="s">
        <v>47</v>
      </c>
      <c r="N1" t="s">
        <v>145</v>
      </c>
      <c r="O1" s="7" t="s">
        <v>144</v>
      </c>
      <c r="P1" t="s">
        <v>153</v>
      </c>
      <c r="Q1" s="7" t="s">
        <v>180</v>
      </c>
      <c r="R1" s="7" t="s">
        <v>181</v>
      </c>
      <c r="S1" s="7" t="s">
        <v>182</v>
      </c>
      <c r="T1" s="7" t="s">
        <v>183</v>
      </c>
    </row>
    <row r="2" spans="1:20" ht="17" customHeight="1" x14ac:dyDescent="0.35">
      <c r="A2" s="10" t="s">
        <v>108</v>
      </c>
      <c r="B2" s="10">
        <v>40</v>
      </c>
      <c r="C2" s="10">
        <v>50</v>
      </c>
      <c r="D2" s="10">
        <v>40</v>
      </c>
      <c r="E2" s="10">
        <v>50</v>
      </c>
      <c r="F2" s="10">
        <v>40</v>
      </c>
      <c r="G2" s="10">
        <v>40</v>
      </c>
      <c r="H2" s="10">
        <v>50</v>
      </c>
      <c r="I2" s="10">
        <v>14</v>
      </c>
      <c r="J2" s="10">
        <v>18</v>
      </c>
      <c r="K2" s="10">
        <v>16</v>
      </c>
      <c r="L2" s="10">
        <v>2</v>
      </c>
      <c r="M2" s="10">
        <f>SUMPRODUCT(Table5[[#This Row],[Physical]:[Beasthood]],Utility!$H$9:$R$9)</f>
        <v>191.4</v>
      </c>
      <c r="N2" s="10">
        <f>SUM(Table5[[#This Row],[Physical]:[Frenzy]])</f>
        <v>358</v>
      </c>
      <c r="O2" s="10">
        <f>RANK(Table5[[#This Row],[TOTAL]],Table5[TOTAL])</f>
        <v>31</v>
      </c>
      <c r="P2" s="10">
        <f>RANK(O2,$O$2:$O$100,1)+COUNTIF($O$1:O1,O2)</f>
        <v>31</v>
      </c>
      <c r="Q2" s="74" cm="1">
        <f t="array" ref="Q2">INDEX($B2:$L2, 1, VLOOKUP(Config!$B$2, Config!$E$2:$F$12, 2, FALSE)-1)</f>
        <v>40</v>
      </c>
      <c r="R2" s="74" cm="1">
        <f t="array" ref="R2">INDEX($B2:$L2, 1, VLOOKUP(Config!$B$3, Config!$E$2:$F$12, 2, FALSE)-1)</f>
        <v>40</v>
      </c>
      <c r="S2" s="7">
        <f t="shared" ref="S2:S32" si="0">Q2*1000000 + R2*1000 + N2</f>
        <v>40040358</v>
      </c>
      <c r="T2" s="7">
        <f t="shared" ref="T2:T32" si="1">RANK(S2, $S$2:$S$100, 0)</f>
        <v>31</v>
      </c>
    </row>
    <row r="3" spans="1:20" ht="17" customHeight="1" x14ac:dyDescent="0.35">
      <c r="A3" s="75" t="s">
        <v>109</v>
      </c>
      <c r="B3" s="75">
        <v>60</v>
      </c>
      <c r="C3" s="75">
        <v>50</v>
      </c>
      <c r="D3" s="75">
        <v>50</v>
      </c>
      <c r="E3" s="75">
        <v>60</v>
      </c>
      <c r="F3" s="75">
        <v>50</v>
      </c>
      <c r="G3" s="75">
        <v>50</v>
      </c>
      <c r="H3" s="75">
        <v>60</v>
      </c>
      <c r="I3" s="75">
        <v>15</v>
      </c>
      <c r="J3" s="75">
        <v>26</v>
      </c>
      <c r="K3" s="75">
        <v>30</v>
      </c>
      <c r="L3" s="75">
        <v>37</v>
      </c>
      <c r="M3" s="75">
        <f>SUMPRODUCT(Table5[[#This Row],[Physical]:[Beasthood]],Utility!$H$9:$R$9)</f>
        <v>237.5</v>
      </c>
      <c r="N3" s="75">
        <f>SUM(Table5[[#This Row],[Physical]:[Frenzy]])</f>
        <v>451</v>
      </c>
      <c r="O3" s="75">
        <f>RANK(Table5[[#This Row],[TOTAL]],Table5[TOTAL])</f>
        <v>19</v>
      </c>
      <c r="P3" s="75">
        <f>RANK(O3,$O$2:$O$100,1)+COUNTIF($O$1:O2,O3)</f>
        <v>19</v>
      </c>
      <c r="Q3" s="75" cm="1">
        <f t="array" ref="Q3">INDEX($B3:$L3, 1, VLOOKUP(Config!$B$2, Config!$E$2:$F$12, 2, FALSE)-1)</f>
        <v>50</v>
      </c>
      <c r="R3" s="75" cm="1">
        <f t="array" ref="R3">INDEX($B3:$L3, 1, VLOOKUP(Config!$B$3, Config!$E$2:$F$12, 2, FALSE)-1)</f>
        <v>60</v>
      </c>
      <c r="S3" s="75">
        <f t="shared" si="0"/>
        <v>50060451</v>
      </c>
      <c r="T3" s="75">
        <f t="shared" si="1"/>
        <v>20</v>
      </c>
    </row>
    <row r="4" spans="1:20" ht="17" customHeight="1" x14ac:dyDescent="0.35">
      <c r="A4" s="75" t="s">
        <v>110</v>
      </c>
      <c r="B4" s="75">
        <v>50</v>
      </c>
      <c r="C4" s="75">
        <v>50</v>
      </c>
      <c r="D4" s="75">
        <v>60</v>
      </c>
      <c r="E4" s="75">
        <v>70</v>
      </c>
      <c r="F4" s="75">
        <v>60</v>
      </c>
      <c r="G4" s="75">
        <v>60</v>
      </c>
      <c r="H4" s="75">
        <v>60</v>
      </c>
      <c r="I4" s="75">
        <v>34</v>
      </c>
      <c r="J4" s="75">
        <v>33</v>
      </c>
      <c r="K4" s="75">
        <v>5</v>
      </c>
      <c r="L4" s="75">
        <v>23</v>
      </c>
      <c r="M4" s="75">
        <f>SUMPRODUCT(Table5[[#This Row],[Physical]:[Beasthood]],Utility!$H$9:$R$9)</f>
        <v>250.6</v>
      </c>
      <c r="N4" s="75">
        <f>SUM(Table5[[#This Row],[Physical]:[Frenzy]])</f>
        <v>482</v>
      </c>
      <c r="O4" s="75">
        <f>RANK(Table5[[#This Row],[TOTAL]],Table5[TOTAL])</f>
        <v>7</v>
      </c>
      <c r="P4" s="75">
        <f>RANK(O4,$O$2:$O$100,1)+COUNTIF($O$1:O3,O4)</f>
        <v>7</v>
      </c>
      <c r="Q4" s="75" cm="1">
        <f t="array" ref="Q4">INDEX($B4:$L4, 1, VLOOKUP(Config!$B$2, Config!$E$2:$F$12, 2, FALSE)-1)</f>
        <v>60</v>
      </c>
      <c r="R4" s="75" cm="1">
        <f t="array" ref="R4">INDEX($B4:$L4, 1, VLOOKUP(Config!$B$3, Config!$E$2:$F$12, 2, FALSE)-1)</f>
        <v>50</v>
      </c>
      <c r="S4" s="75">
        <f t="shared" si="0"/>
        <v>60050482</v>
      </c>
      <c r="T4" s="75">
        <f t="shared" si="1"/>
        <v>10</v>
      </c>
    </row>
    <row r="5" spans="1:20" ht="17" customHeight="1" x14ac:dyDescent="0.35">
      <c r="A5" s="75" t="s">
        <v>111</v>
      </c>
      <c r="B5" s="75">
        <v>40</v>
      </c>
      <c r="C5" s="75">
        <v>50</v>
      </c>
      <c r="D5" s="75">
        <v>40</v>
      </c>
      <c r="E5" s="75">
        <v>50</v>
      </c>
      <c r="F5" s="75">
        <v>50</v>
      </c>
      <c r="G5" s="75">
        <v>40</v>
      </c>
      <c r="H5" s="75">
        <v>50</v>
      </c>
      <c r="I5" s="75">
        <v>11</v>
      </c>
      <c r="J5" s="75">
        <v>16</v>
      </c>
      <c r="K5" s="75">
        <v>16</v>
      </c>
      <c r="L5" s="75">
        <v>46</v>
      </c>
      <c r="M5" s="75">
        <f>SUMPRODUCT(Table5[[#This Row],[Physical]:[Beasthood]],Utility!$H$9:$R$9)</f>
        <v>197.4</v>
      </c>
      <c r="N5" s="75">
        <f>SUM(Table5[[#This Row],[Physical]:[Frenzy]])</f>
        <v>363</v>
      </c>
      <c r="O5" s="75">
        <f>RANK(Table5[[#This Row],[TOTAL]],Table5[TOTAL])</f>
        <v>30</v>
      </c>
      <c r="P5" s="75">
        <f>RANK(O5,$O$2:$O$100,1)+COUNTIF($O$1:O4,O5)</f>
        <v>30</v>
      </c>
      <c r="Q5" s="75" cm="1">
        <f t="array" ref="Q5">INDEX($B5:$L5, 1, VLOOKUP(Config!$B$2, Config!$E$2:$F$12, 2, FALSE)-1)</f>
        <v>40</v>
      </c>
      <c r="R5" s="75" cm="1">
        <f t="array" ref="R5">INDEX($B5:$L5, 1, VLOOKUP(Config!$B$3, Config!$E$2:$F$12, 2, FALSE)-1)</f>
        <v>40</v>
      </c>
      <c r="S5" s="75">
        <f t="shared" si="0"/>
        <v>40040363</v>
      </c>
      <c r="T5" s="75">
        <f t="shared" si="1"/>
        <v>30</v>
      </c>
    </row>
    <row r="6" spans="1:20" ht="17" customHeight="1" x14ac:dyDescent="0.35">
      <c r="A6" s="75" t="s">
        <v>112</v>
      </c>
      <c r="B6" s="75">
        <v>60</v>
      </c>
      <c r="C6" s="75">
        <v>40</v>
      </c>
      <c r="D6" s="75">
        <v>50</v>
      </c>
      <c r="E6" s="75">
        <v>50</v>
      </c>
      <c r="F6" s="75">
        <v>40</v>
      </c>
      <c r="G6" s="75">
        <v>80</v>
      </c>
      <c r="H6" s="75">
        <v>70</v>
      </c>
      <c r="I6" s="75">
        <v>19</v>
      </c>
      <c r="J6" s="75">
        <v>17</v>
      </c>
      <c r="K6" s="75">
        <v>24</v>
      </c>
      <c r="L6" s="75">
        <v>15</v>
      </c>
      <c r="M6" s="75">
        <f>SUMPRODUCT(Table5[[#This Row],[Physical]:[Beasthood]],Utility!$H$9:$R$9)</f>
        <v>240.5</v>
      </c>
      <c r="N6" s="75">
        <f>SUM(Table5[[#This Row],[Physical]:[Frenzy]])</f>
        <v>450</v>
      </c>
      <c r="O6" s="75">
        <f>RANK(Table5[[#This Row],[TOTAL]],Table5[TOTAL])</f>
        <v>16</v>
      </c>
      <c r="P6" s="75">
        <f>RANK(O6,$O$2:$O$100,1)+COUNTIF($O$1:O5,O6)</f>
        <v>16</v>
      </c>
      <c r="Q6" s="75" cm="1">
        <f t="array" ref="Q6">INDEX($B6:$L6, 1, VLOOKUP(Config!$B$2, Config!$E$2:$F$12, 2, FALSE)-1)</f>
        <v>80</v>
      </c>
      <c r="R6" s="75" cm="1">
        <f t="array" ref="R6">INDEX($B6:$L6, 1, VLOOKUP(Config!$B$3, Config!$E$2:$F$12, 2, FALSE)-1)</f>
        <v>60</v>
      </c>
      <c r="S6" s="75">
        <f t="shared" si="0"/>
        <v>80060450</v>
      </c>
      <c r="T6" s="75">
        <f t="shared" si="1"/>
        <v>3</v>
      </c>
    </row>
    <row r="7" spans="1:20" ht="17" customHeight="1" x14ac:dyDescent="0.35">
      <c r="A7" s="75" t="s">
        <v>113</v>
      </c>
      <c r="B7" s="75">
        <v>60</v>
      </c>
      <c r="C7" s="75">
        <v>40</v>
      </c>
      <c r="D7" s="75">
        <v>60</v>
      </c>
      <c r="E7" s="75">
        <v>50</v>
      </c>
      <c r="F7" s="75">
        <v>50</v>
      </c>
      <c r="G7" s="75">
        <v>50</v>
      </c>
      <c r="H7" s="75">
        <v>60</v>
      </c>
      <c r="I7" s="75">
        <v>32</v>
      </c>
      <c r="J7" s="75">
        <v>34</v>
      </c>
      <c r="K7" s="75">
        <v>19</v>
      </c>
      <c r="L7" s="75">
        <v>17</v>
      </c>
      <c r="M7" s="75">
        <f>SUMPRODUCT(Table5[[#This Row],[Physical]:[Beasthood]],Utility!$H$9:$R$9)</f>
        <v>232.6</v>
      </c>
      <c r="N7" s="75">
        <f>SUM(Table5[[#This Row],[Physical]:[Frenzy]])</f>
        <v>455</v>
      </c>
      <c r="O7" s="75">
        <f>RANK(Table5[[#This Row],[TOTAL]],Table5[TOTAL])</f>
        <v>24</v>
      </c>
      <c r="P7" s="75">
        <f>RANK(O7,$O$2:$O$100,1)+COUNTIF($O$1:O6,O7)</f>
        <v>24</v>
      </c>
      <c r="Q7" s="75" cm="1">
        <f t="array" ref="Q7">INDEX($B7:$L7, 1, VLOOKUP(Config!$B$2, Config!$E$2:$F$12, 2, FALSE)-1)</f>
        <v>50</v>
      </c>
      <c r="R7" s="75" cm="1">
        <f t="array" ref="R7">INDEX($B7:$L7, 1, VLOOKUP(Config!$B$3, Config!$E$2:$F$12, 2, FALSE)-1)</f>
        <v>60</v>
      </c>
      <c r="S7" s="75">
        <f t="shared" si="0"/>
        <v>50060455</v>
      </c>
      <c r="T7" s="75">
        <f t="shared" si="1"/>
        <v>19</v>
      </c>
    </row>
    <row r="8" spans="1:20" ht="17" customHeight="1" x14ac:dyDescent="0.35">
      <c r="A8" s="75" t="s">
        <v>114</v>
      </c>
      <c r="B8" s="75">
        <v>60</v>
      </c>
      <c r="C8" s="75">
        <v>40</v>
      </c>
      <c r="D8" s="75">
        <v>60</v>
      </c>
      <c r="E8" s="75">
        <v>70</v>
      </c>
      <c r="F8" s="75">
        <v>40</v>
      </c>
      <c r="G8" s="75">
        <v>40</v>
      </c>
      <c r="H8" s="75">
        <v>40</v>
      </c>
      <c r="I8" s="75">
        <v>21</v>
      </c>
      <c r="J8" s="75">
        <v>23</v>
      </c>
      <c r="K8" s="75">
        <v>15</v>
      </c>
      <c r="L8" s="75">
        <v>13</v>
      </c>
      <c r="M8" s="75">
        <f>SUMPRODUCT(Table5[[#This Row],[Physical]:[Beasthood]],Utility!$H$9:$R$9)</f>
        <v>222.6</v>
      </c>
      <c r="N8" s="75">
        <f>SUM(Table5[[#This Row],[Physical]:[Frenzy]])</f>
        <v>409</v>
      </c>
      <c r="O8" s="75">
        <f>RANK(Table5[[#This Row],[TOTAL]],Table5[TOTAL])</f>
        <v>27</v>
      </c>
      <c r="P8" s="75">
        <f>RANK(O8,$O$2:$O$100,1)+COUNTIF($O$1:O7,O8)</f>
        <v>27</v>
      </c>
      <c r="Q8" s="75" cm="1">
        <f t="array" ref="Q8">INDEX($B8:$L8, 1, VLOOKUP(Config!$B$2, Config!$E$2:$F$12, 2, FALSE)-1)</f>
        <v>40</v>
      </c>
      <c r="R8" s="75" cm="1">
        <f t="array" ref="R8">INDEX($B8:$L8, 1, VLOOKUP(Config!$B$3, Config!$E$2:$F$12, 2, FALSE)-1)</f>
        <v>60</v>
      </c>
      <c r="S8" s="75">
        <f t="shared" si="0"/>
        <v>40060409</v>
      </c>
      <c r="T8" s="75">
        <f t="shared" si="1"/>
        <v>28</v>
      </c>
    </row>
    <row r="9" spans="1:20" ht="17" customHeight="1" x14ac:dyDescent="0.35">
      <c r="A9" s="75" t="s">
        <v>115</v>
      </c>
      <c r="B9" s="75">
        <v>60</v>
      </c>
      <c r="C9" s="75">
        <v>60</v>
      </c>
      <c r="D9" s="75">
        <v>50</v>
      </c>
      <c r="E9" s="75">
        <v>60</v>
      </c>
      <c r="F9" s="75">
        <v>40</v>
      </c>
      <c r="G9" s="75">
        <v>80</v>
      </c>
      <c r="H9" s="75">
        <v>40</v>
      </c>
      <c r="I9" s="75">
        <v>17</v>
      </c>
      <c r="J9" s="75">
        <v>21</v>
      </c>
      <c r="K9" s="75">
        <v>27</v>
      </c>
      <c r="L9" s="75">
        <v>33</v>
      </c>
      <c r="M9" s="75">
        <f>SUMPRODUCT(Table5[[#This Row],[Physical]:[Beasthood]],Utility!$H$9:$R$9)</f>
        <v>251.5</v>
      </c>
      <c r="N9" s="75">
        <f>SUM(Table5[[#This Row],[Physical]:[Frenzy]])</f>
        <v>455</v>
      </c>
      <c r="O9" s="75">
        <f>RANK(Table5[[#This Row],[TOTAL]],Table5[TOTAL])</f>
        <v>4</v>
      </c>
      <c r="P9" s="75">
        <f>RANK(O9,$O$2:$O$100,1)+COUNTIF($O$1:O8,O9)</f>
        <v>4</v>
      </c>
      <c r="Q9" s="75" cm="1">
        <f t="array" ref="Q9">INDEX($B9:$L9, 1, VLOOKUP(Config!$B$2, Config!$E$2:$F$12, 2, FALSE)-1)</f>
        <v>80</v>
      </c>
      <c r="R9" s="75" cm="1">
        <f t="array" ref="R9">INDEX($B9:$L9, 1, VLOOKUP(Config!$B$3, Config!$E$2:$F$12, 2, FALSE)-1)</f>
        <v>60</v>
      </c>
      <c r="S9" s="75">
        <f t="shared" si="0"/>
        <v>80060455</v>
      </c>
      <c r="T9" s="75">
        <f t="shared" si="1"/>
        <v>2</v>
      </c>
    </row>
    <row r="10" spans="1:20" ht="17" customHeight="1" x14ac:dyDescent="0.35">
      <c r="A10" s="75" t="s">
        <v>116</v>
      </c>
      <c r="B10" s="75">
        <v>50</v>
      </c>
      <c r="C10" s="75">
        <v>50</v>
      </c>
      <c r="D10" s="75">
        <v>50</v>
      </c>
      <c r="E10" s="75">
        <v>60</v>
      </c>
      <c r="F10" s="75">
        <v>80</v>
      </c>
      <c r="G10" s="75">
        <v>60</v>
      </c>
      <c r="H10" s="75">
        <v>60</v>
      </c>
      <c r="I10" s="75">
        <v>26</v>
      </c>
      <c r="J10" s="75">
        <v>22</v>
      </c>
      <c r="K10" s="75">
        <v>9</v>
      </c>
      <c r="L10" s="75">
        <v>22</v>
      </c>
      <c r="M10" s="75">
        <f>SUMPRODUCT(Table5[[#This Row],[Physical]:[Beasthood]],Utility!$H$9:$R$9)</f>
        <v>251.5</v>
      </c>
      <c r="N10" s="75">
        <f>SUM(Table5[[#This Row],[Physical]:[Frenzy]])</f>
        <v>467</v>
      </c>
      <c r="O10" s="75">
        <f>RANK(Table5[[#This Row],[TOTAL]],Table5[TOTAL])</f>
        <v>4</v>
      </c>
      <c r="P10" s="75">
        <f>RANK(O10,$O$2:$O$100,1)+COUNTIF($O$1:O9,O10)</f>
        <v>5</v>
      </c>
      <c r="Q10" s="75" cm="1">
        <f t="array" ref="Q10">INDEX($B10:$L10, 1, VLOOKUP(Config!$B$2, Config!$E$2:$F$12, 2, FALSE)-1)</f>
        <v>60</v>
      </c>
      <c r="R10" s="75" cm="1">
        <f t="array" ref="R10">INDEX($B10:$L10, 1, VLOOKUP(Config!$B$3, Config!$E$2:$F$12, 2, FALSE)-1)</f>
        <v>50</v>
      </c>
      <c r="S10" s="75">
        <f t="shared" si="0"/>
        <v>60050467</v>
      </c>
      <c r="T10" s="75">
        <f t="shared" si="1"/>
        <v>14</v>
      </c>
    </row>
    <row r="11" spans="1:20" ht="17" customHeight="1" x14ac:dyDescent="0.35">
      <c r="A11" s="75" t="s">
        <v>117</v>
      </c>
      <c r="B11" s="75">
        <v>60</v>
      </c>
      <c r="C11" s="75">
        <v>60</v>
      </c>
      <c r="D11" s="75">
        <v>50</v>
      </c>
      <c r="E11" s="75">
        <v>50</v>
      </c>
      <c r="F11" s="75">
        <v>50</v>
      </c>
      <c r="G11" s="75">
        <v>60</v>
      </c>
      <c r="H11" s="75">
        <v>70</v>
      </c>
      <c r="I11" s="75">
        <v>25</v>
      </c>
      <c r="J11" s="75">
        <v>18</v>
      </c>
      <c r="K11" s="75">
        <v>14</v>
      </c>
      <c r="L11" s="75">
        <v>35</v>
      </c>
      <c r="M11" s="75">
        <f>SUMPRODUCT(Table5[[#This Row],[Physical]:[Beasthood]],Utility!$H$9:$R$9)</f>
        <v>250.5</v>
      </c>
      <c r="N11" s="75">
        <f>SUM(Table5[[#This Row],[Physical]:[Frenzy]])</f>
        <v>457</v>
      </c>
      <c r="O11" s="75">
        <f>RANK(Table5[[#This Row],[TOTAL]],Table5[TOTAL])</f>
        <v>10</v>
      </c>
      <c r="P11" s="75">
        <f>RANK(O11,$O$2:$O$100,1)+COUNTIF($O$1:O10,O11)</f>
        <v>10</v>
      </c>
      <c r="Q11" s="75" cm="1">
        <f t="array" ref="Q11">INDEX($B11:$L11, 1, VLOOKUP(Config!$B$2, Config!$E$2:$F$12, 2, FALSE)-1)</f>
        <v>60</v>
      </c>
      <c r="R11" s="75" cm="1">
        <f t="array" ref="R11">INDEX($B11:$L11, 1, VLOOKUP(Config!$B$3, Config!$E$2:$F$12, 2, FALSE)-1)</f>
        <v>60</v>
      </c>
      <c r="S11" s="75">
        <f t="shared" si="0"/>
        <v>60060457</v>
      </c>
      <c r="T11" s="75">
        <f t="shared" si="1"/>
        <v>7</v>
      </c>
    </row>
    <row r="12" spans="1:20" ht="17" customHeight="1" x14ac:dyDescent="0.35">
      <c r="A12" s="75" t="s">
        <v>118</v>
      </c>
      <c r="B12" s="75">
        <v>50</v>
      </c>
      <c r="C12" s="75">
        <v>70</v>
      </c>
      <c r="D12" s="75">
        <v>50</v>
      </c>
      <c r="E12" s="75">
        <v>70</v>
      </c>
      <c r="F12" s="75">
        <v>40</v>
      </c>
      <c r="G12" s="75">
        <v>50</v>
      </c>
      <c r="H12" s="75">
        <v>50</v>
      </c>
      <c r="I12" s="75">
        <v>17</v>
      </c>
      <c r="J12" s="75">
        <v>21</v>
      </c>
      <c r="K12" s="75">
        <v>27</v>
      </c>
      <c r="L12" s="75">
        <v>12</v>
      </c>
      <c r="M12" s="75">
        <f>SUMPRODUCT(Table5[[#This Row],[Physical]:[Beasthood]],Utility!$H$9:$R$9)</f>
        <v>238.5</v>
      </c>
      <c r="N12" s="75">
        <f>SUM(Table5[[#This Row],[Physical]:[Frenzy]])</f>
        <v>445</v>
      </c>
      <c r="O12" s="75">
        <f>RANK(Table5[[#This Row],[TOTAL]],Table5[TOTAL])</f>
        <v>18</v>
      </c>
      <c r="P12" s="75">
        <f>RANK(O12,$O$2:$O$100,1)+COUNTIF($O$1:O11,O12)</f>
        <v>18</v>
      </c>
      <c r="Q12" s="75" cm="1">
        <f t="array" ref="Q12">INDEX($B12:$L12, 1, VLOOKUP(Config!$B$2, Config!$E$2:$F$12, 2, FALSE)-1)</f>
        <v>50</v>
      </c>
      <c r="R12" s="75" cm="1">
        <f t="array" ref="R12">INDEX($B12:$L12, 1, VLOOKUP(Config!$B$3, Config!$E$2:$F$12, 2, FALSE)-1)</f>
        <v>50</v>
      </c>
      <c r="S12" s="75">
        <f t="shared" si="0"/>
        <v>50050445</v>
      </c>
      <c r="T12" s="75">
        <f t="shared" si="1"/>
        <v>22</v>
      </c>
    </row>
    <row r="13" spans="1:20" ht="17" customHeight="1" x14ac:dyDescent="0.35">
      <c r="A13" s="75" t="s">
        <v>119</v>
      </c>
      <c r="B13" s="75">
        <v>70</v>
      </c>
      <c r="C13" s="75">
        <v>50</v>
      </c>
      <c r="D13" s="75">
        <v>50</v>
      </c>
      <c r="E13" s="75">
        <v>70</v>
      </c>
      <c r="F13" s="75">
        <v>40</v>
      </c>
      <c r="G13" s="75">
        <v>70</v>
      </c>
      <c r="H13" s="75">
        <v>40</v>
      </c>
      <c r="I13" s="75">
        <v>19</v>
      </c>
      <c r="J13" s="75">
        <v>13</v>
      </c>
      <c r="K13" s="75">
        <v>20</v>
      </c>
      <c r="L13" s="75">
        <v>29</v>
      </c>
      <c r="M13" s="75">
        <f>SUMPRODUCT(Table5[[#This Row],[Physical]:[Beasthood]],Utility!$H$9:$R$9)</f>
        <v>251.5</v>
      </c>
      <c r="N13" s="75">
        <f>SUM(Table5[[#This Row],[Physical]:[Frenzy]])</f>
        <v>442</v>
      </c>
      <c r="O13" s="75">
        <f>RANK(Table5[[#This Row],[TOTAL]],Table5[TOTAL])</f>
        <v>4</v>
      </c>
      <c r="P13" s="75">
        <f>RANK(O13,$O$2:$O$100,1)+COUNTIF($O$1:O12,O13)</f>
        <v>6</v>
      </c>
      <c r="Q13" s="75" cm="1">
        <f t="array" ref="Q13">INDEX($B13:$L13, 1, VLOOKUP(Config!$B$2, Config!$E$2:$F$12, 2, FALSE)-1)</f>
        <v>70</v>
      </c>
      <c r="R13" s="75" cm="1">
        <f t="array" ref="R13">INDEX($B13:$L13, 1, VLOOKUP(Config!$B$3, Config!$E$2:$F$12, 2, FALSE)-1)</f>
        <v>70</v>
      </c>
      <c r="S13" s="75">
        <f t="shared" si="0"/>
        <v>70070442</v>
      </c>
      <c r="T13" s="75">
        <f t="shared" si="1"/>
        <v>4</v>
      </c>
    </row>
    <row r="14" spans="1:20" ht="17" customHeight="1" x14ac:dyDescent="0.35">
      <c r="A14" s="75" t="s">
        <v>120</v>
      </c>
      <c r="B14" s="75">
        <v>40</v>
      </c>
      <c r="C14" s="75">
        <v>40</v>
      </c>
      <c r="D14" s="75">
        <v>40</v>
      </c>
      <c r="E14" s="75">
        <v>50</v>
      </c>
      <c r="F14" s="75">
        <v>50</v>
      </c>
      <c r="G14" s="75">
        <v>60</v>
      </c>
      <c r="H14" s="75">
        <v>50</v>
      </c>
      <c r="I14" s="75">
        <v>24</v>
      </c>
      <c r="J14" s="75">
        <v>18</v>
      </c>
      <c r="K14" s="75">
        <v>22</v>
      </c>
      <c r="L14" s="75">
        <v>18</v>
      </c>
      <c r="M14" s="75">
        <f>SUMPRODUCT(Table5[[#This Row],[Physical]:[Beasthood]],Utility!$H$9:$R$9)</f>
        <v>201.4</v>
      </c>
      <c r="N14" s="75">
        <f>SUM(Table5[[#This Row],[Physical]:[Frenzy]])</f>
        <v>394</v>
      </c>
      <c r="O14" s="75">
        <f>RANK(Table5[[#This Row],[TOTAL]],Table5[TOTAL])</f>
        <v>28</v>
      </c>
      <c r="P14" s="75">
        <f>RANK(O14,$O$2:$O$100,1)+COUNTIF($O$1:O13,O14)</f>
        <v>28</v>
      </c>
      <c r="Q14" s="75" cm="1">
        <f t="array" ref="Q14">INDEX($B14:$L14, 1, VLOOKUP(Config!$B$2, Config!$E$2:$F$12, 2, FALSE)-1)</f>
        <v>60</v>
      </c>
      <c r="R14" s="75" cm="1">
        <f t="array" ref="R14">INDEX($B14:$L14, 1, VLOOKUP(Config!$B$3, Config!$E$2:$F$12, 2, FALSE)-1)</f>
        <v>40</v>
      </c>
      <c r="S14" s="75">
        <f t="shared" si="0"/>
        <v>60040394</v>
      </c>
      <c r="T14" s="75">
        <f t="shared" si="1"/>
        <v>18</v>
      </c>
    </row>
    <row r="15" spans="1:20" ht="17" customHeight="1" x14ac:dyDescent="0.35">
      <c r="A15" s="75" t="s">
        <v>121</v>
      </c>
      <c r="B15" s="75">
        <v>50</v>
      </c>
      <c r="C15" s="75">
        <v>70</v>
      </c>
      <c r="D15" s="75">
        <v>50</v>
      </c>
      <c r="E15" s="75">
        <v>60</v>
      </c>
      <c r="F15" s="75">
        <v>60</v>
      </c>
      <c r="G15" s="75">
        <v>60</v>
      </c>
      <c r="H15" s="75">
        <v>50</v>
      </c>
      <c r="I15" s="75">
        <v>30</v>
      </c>
      <c r="J15" s="75">
        <v>26</v>
      </c>
      <c r="K15" s="75">
        <v>10</v>
      </c>
      <c r="L15" s="75">
        <v>26</v>
      </c>
      <c r="M15" s="75">
        <f>SUMPRODUCT(Table5[[#This Row],[Physical]:[Beasthood]],Utility!$H$9:$R$9)</f>
        <v>252.5</v>
      </c>
      <c r="N15" s="75">
        <f>SUM(Table5[[#This Row],[Physical]:[Frenzy]])</f>
        <v>466</v>
      </c>
      <c r="O15" s="75">
        <f>RANK(Table5[[#This Row],[TOTAL]],Table5[TOTAL])</f>
        <v>3</v>
      </c>
      <c r="P15" s="75">
        <f>RANK(O15,$O$2:$O$100,1)+COUNTIF($O$1:O14,O15)</f>
        <v>3</v>
      </c>
      <c r="Q15" s="75" cm="1">
        <f t="array" ref="Q15">INDEX($B15:$L15, 1, VLOOKUP(Config!$B$2, Config!$E$2:$F$12, 2, FALSE)-1)</f>
        <v>60</v>
      </c>
      <c r="R15" s="75" cm="1">
        <f t="array" ref="R15">INDEX($B15:$L15, 1, VLOOKUP(Config!$B$3, Config!$E$2:$F$12, 2, FALSE)-1)</f>
        <v>50</v>
      </c>
      <c r="S15" s="75">
        <f t="shared" si="0"/>
        <v>60050466</v>
      </c>
      <c r="T15" s="75">
        <f t="shared" si="1"/>
        <v>15</v>
      </c>
    </row>
    <row r="16" spans="1:20" ht="17" customHeight="1" x14ac:dyDescent="0.35">
      <c r="A16" s="75" t="s">
        <v>122</v>
      </c>
      <c r="B16" s="75">
        <v>40</v>
      </c>
      <c r="C16" s="75">
        <v>50</v>
      </c>
      <c r="D16" s="75">
        <v>40</v>
      </c>
      <c r="E16" s="75">
        <v>40</v>
      </c>
      <c r="F16" s="75">
        <v>50</v>
      </c>
      <c r="G16" s="75">
        <v>50</v>
      </c>
      <c r="H16" s="75">
        <v>50</v>
      </c>
      <c r="I16" s="75">
        <v>16</v>
      </c>
      <c r="J16" s="75">
        <v>11</v>
      </c>
      <c r="K16" s="75">
        <v>16</v>
      </c>
      <c r="L16" s="75">
        <v>9</v>
      </c>
      <c r="M16" s="75">
        <f>SUMPRODUCT(Table5[[#This Row],[Physical]:[Beasthood]],Utility!$H$9:$R$9)</f>
        <v>199.4</v>
      </c>
      <c r="N16" s="75">
        <f>SUM(Table5[[#This Row],[Physical]:[Frenzy]])</f>
        <v>363</v>
      </c>
      <c r="O16" s="75">
        <f>RANK(Table5[[#This Row],[TOTAL]],Table5[TOTAL])</f>
        <v>29</v>
      </c>
      <c r="P16" s="75">
        <f>RANK(O16,$O$2:$O$100,1)+COUNTIF($O$1:O15,O16)</f>
        <v>29</v>
      </c>
      <c r="Q16" s="75" cm="1">
        <f t="array" ref="Q16">INDEX($B16:$L16, 1, VLOOKUP(Config!$B$2, Config!$E$2:$F$12, 2, FALSE)-1)</f>
        <v>50</v>
      </c>
      <c r="R16" s="75" cm="1">
        <f t="array" ref="R16">INDEX($B16:$L16, 1, VLOOKUP(Config!$B$3, Config!$E$2:$F$12, 2, FALSE)-1)</f>
        <v>40</v>
      </c>
      <c r="S16" s="75">
        <f t="shared" si="0"/>
        <v>50040363</v>
      </c>
      <c r="T16" s="75">
        <f t="shared" si="1"/>
        <v>26</v>
      </c>
    </row>
    <row r="17" spans="1:20" ht="17" customHeight="1" x14ac:dyDescent="0.35">
      <c r="A17" s="75" t="s">
        <v>123</v>
      </c>
      <c r="B17" s="75">
        <v>50</v>
      </c>
      <c r="C17" s="75">
        <v>60</v>
      </c>
      <c r="D17" s="75">
        <v>60</v>
      </c>
      <c r="E17" s="75">
        <v>50</v>
      </c>
      <c r="F17" s="75">
        <v>60</v>
      </c>
      <c r="G17" s="75">
        <v>60</v>
      </c>
      <c r="H17" s="75">
        <v>50</v>
      </c>
      <c r="I17" s="75">
        <v>31</v>
      </c>
      <c r="J17" s="75">
        <v>23</v>
      </c>
      <c r="K17" s="75">
        <v>14</v>
      </c>
      <c r="L17" s="75">
        <v>26</v>
      </c>
      <c r="M17" s="75">
        <f>SUMPRODUCT(Table5[[#This Row],[Physical]:[Beasthood]],Utility!$H$9:$R$9)</f>
        <v>247.6</v>
      </c>
      <c r="N17" s="75">
        <f>SUM(Table5[[#This Row],[Physical]:[Frenzy]])</f>
        <v>458</v>
      </c>
      <c r="O17" s="75">
        <f>RANK(Table5[[#This Row],[TOTAL]],Table5[TOTAL])</f>
        <v>12</v>
      </c>
      <c r="P17" s="75">
        <f>RANK(O17,$O$2:$O$100,1)+COUNTIF($O$1:O16,O17)</f>
        <v>12</v>
      </c>
      <c r="Q17" s="75" cm="1">
        <f t="array" ref="Q17">INDEX($B17:$L17, 1, VLOOKUP(Config!$B$2, Config!$E$2:$F$12, 2, FALSE)-1)</f>
        <v>60</v>
      </c>
      <c r="R17" s="75" cm="1">
        <f t="array" ref="R17">INDEX($B17:$L17, 1, VLOOKUP(Config!$B$3, Config!$E$2:$F$12, 2, FALSE)-1)</f>
        <v>50</v>
      </c>
      <c r="S17" s="75">
        <f t="shared" si="0"/>
        <v>60050458</v>
      </c>
      <c r="T17" s="75">
        <f t="shared" si="1"/>
        <v>17</v>
      </c>
    </row>
    <row r="18" spans="1:20" ht="17" customHeight="1" x14ac:dyDescent="0.35">
      <c r="A18" s="75" t="s">
        <v>124</v>
      </c>
      <c r="B18" s="75">
        <v>50</v>
      </c>
      <c r="C18" s="75">
        <v>50</v>
      </c>
      <c r="D18" s="75">
        <v>50</v>
      </c>
      <c r="E18" s="75">
        <v>60</v>
      </c>
      <c r="F18" s="75">
        <v>50</v>
      </c>
      <c r="G18" s="75">
        <v>50</v>
      </c>
      <c r="H18" s="75">
        <v>50</v>
      </c>
      <c r="I18" s="75">
        <v>19</v>
      </c>
      <c r="J18" s="75">
        <v>21</v>
      </c>
      <c r="K18" s="75">
        <v>29</v>
      </c>
      <c r="L18" s="75">
        <v>27</v>
      </c>
      <c r="M18" s="75">
        <f>SUMPRODUCT(Table5[[#This Row],[Physical]:[Beasthood]],Utility!$H$9:$R$9)</f>
        <v>224.5</v>
      </c>
      <c r="N18" s="75">
        <f>SUM(Table5[[#This Row],[Physical]:[Frenzy]])</f>
        <v>429</v>
      </c>
      <c r="O18" s="75">
        <f>RANK(Table5[[#This Row],[TOTAL]],Table5[TOTAL])</f>
        <v>26</v>
      </c>
      <c r="P18" s="75">
        <f>RANK(O18,$O$2:$O$100,1)+COUNTIF($O$1:O17,O18)</f>
        <v>26</v>
      </c>
      <c r="Q18" s="75" cm="1">
        <f t="array" ref="Q18">INDEX($B18:$L18, 1, VLOOKUP(Config!$B$2, Config!$E$2:$F$12, 2, FALSE)-1)</f>
        <v>50</v>
      </c>
      <c r="R18" s="75" cm="1">
        <f t="array" ref="R18">INDEX($B18:$L18, 1, VLOOKUP(Config!$B$3, Config!$E$2:$F$12, 2, FALSE)-1)</f>
        <v>50</v>
      </c>
      <c r="S18" s="75">
        <f t="shared" si="0"/>
        <v>50050429</v>
      </c>
      <c r="T18" s="75">
        <f t="shared" si="1"/>
        <v>25</v>
      </c>
    </row>
    <row r="19" spans="1:20" ht="17" customHeight="1" x14ac:dyDescent="0.35">
      <c r="A19" s="75" t="s">
        <v>125</v>
      </c>
      <c r="B19" s="75">
        <v>50</v>
      </c>
      <c r="C19" s="75">
        <v>50</v>
      </c>
      <c r="D19" s="75">
        <v>60</v>
      </c>
      <c r="E19" s="75">
        <v>50</v>
      </c>
      <c r="F19" s="75">
        <v>60</v>
      </c>
      <c r="G19" s="75">
        <v>60</v>
      </c>
      <c r="H19" s="75">
        <v>60</v>
      </c>
      <c r="I19" s="75">
        <v>29</v>
      </c>
      <c r="J19" s="75">
        <v>28</v>
      </c>
      <c r="K19" s="75">
        <v>28</v>
      </c>
      <c r="L19" s="75">
        <v>23</v>
      </c>
      <c r="M19" s="75">
        <f>SUMPRODUCT(Table5[[#This Row],[Physical]:[Beasthood]],Utility!$H$9:$R$9)</f>
        <v>242.6</v>
      </c>
      <c r="N19" s="75">
        <f>SUM(Table5[[#This Row],[Physical]:[Frenzy]])</f>
        <v>475</v>
      </c>
      <c r="O19" s="75">
        <f>RANK(Table5[[#This Row],[TOTAL]],Table5[TOTAL])</f>
        <v>15</v>
      </c>
      <c r="P19" s="75">
        <f>RANK(O19,$O$2:$O$100,1)+COUNTIF($O$1:O18,O19)</f>
        <v>15</v>
      </c>
      <c r="Q19" s="75" cm="1">
        <f t="array" ref="Q19">INDEX($B19:$L19, 1, VLOOKUP(Config!$B$2, Config!$E$2:$F$12, 2, FALSE)-1)</f>
        <v>60</v>
      </c>
      <c r="R19" s="75" cm="1">
        <f t="array" ref="R19">INDEX($B19:$L19, 1, VLOOKUP(Config!$B$3, Config!$E$2:$F$12, 2, FALSE)-1)</f>
        <v>50</v>
      </c>
      <c r="S19" s="75">
        <f t="shared" si="0"/>
        <v>60050475</v>
      </c>
      <c r="T19" s="75">
        <f t="shared" si="1"/>
        <v>12</v>
      </c>
    </row>
    <row r="20" spans="1:20" ht="17" customHeight="1" x14ac:dyDescent="0.35">
      <c r="A20" s="75" t="s">
        <v>126</v>
      </c>
      <c r="B20" s="75">
        <v>70</v>
      </c>
      <c r="C20" s="75">
        <v>50</v>
      </c>
      <c r="D20" s="75">
        <v>50</v>
      </c>
      <c r="E20" s="75">
        <v>60</v>
      </c>
      <c r="F20" s="75">
        <v>60</v>
      </c>
      <c r="G20" s="75">
        <v>60</v>
      </c>
      <c r="H20" s="75">
        <v>60</v>
      </c>
      <c r="I20" s="75">
        <v>38</v>
      </c>
      <c r="J20" s="75">
        <v>33</v>
      </c>
      <c r="K20" s="75">
        <v>5</v>
      </c>
      <c r="L20" s="75">
        <v>27</v>
      </c>
      <c r="M20" s="75">
        <f>SUMPRODUCT(Table5[[#This Row],[Physical]:[Beasthood]],Utility!$H$9:$R$9)</f>
        <v>259.5</v>
      </c>
      <c r="N20" s="75">
        <f>SUM(Table5[[#This Row],[Physical]:[Frenzy]])</f>
        <v>486</v>
      </c>
      <c r="O20" s="75">
        <f>RANK(Table5[[#This Row],[TOTAL]],Table5[TOTAL])</f>
        <v>1</v>
      </c>
      <c r="P20" s="75">
        <f>RANK(O20,$O$2:$O$100,1)+COUNTIF($O$1:O19,O20)</f>
        <v>1</v>
      </c>
      <c r="Q20" s="75" cm="1">
        <f t="array" ref="Q20">INDEX($B20:$L20, 1, VLOOKUP(Config!$B$2, Config!$E$2:$F$12, 2, FALSE)-1)</f>
        <v>60</v>
      </c>
      <c r="R20" s="75" cm="1">
        <f t="array" ref="R20">INDEX($B20:$L20, 1, VLOOKUP(Config!$B$3, Config!$E$2:$F$12, 2, FALSE)-1)</f>
        <v>70</v>
      </c>
      <c r="S20" s="75">
        <f t="shared" si="0"/>
        <v>60070486</v>
      </c>
      <c r="T20" s="75">
        <f t="shared" si="1"/>
        <v>6</v>
      </c>
    </row>
    <row r="21" spans="1:20" ht="17" customHeight="1" x14ac:dyDescent="0.35">
      <c r="A21" s="75" t="s">
        <v>127</v>
      </c>
      <c r="B21" s="75">
        <v>50</v>
      </c>
      <c r="C21" s="75">
        <v>60</v>
      </c>
      <c r="D21" s="75">
        <v>60</v>
      </c>
      <c r="E21" s="75">
        <v>50</v>
      </c>
      <c r="F21" s="75">
        <v>50</v>
      </c>
      <c r="G21" s="75">
        <v>60</v>
      </c>
      <c r="H21" s="75">
        <v>80</v>
      </c>
      <c r="I21" s="75">
        <v>12</v>
      </c>
      <c r="J21" s="75">
        <v>24</v>
      </c>
      <c r="K21" s="75">
        <v>25</v>
      </c>
      <c r="L21" s="75">
        <v>34</v>
      </c>
      <c r="M21" s="75">
        <f>SUMPRODUCT(Table5[[#This Row],[Physical]:[Beasthood]],Utility!$H$9:$R$9)</f>
        <v>250.6</v>
      </c>
      <c r="N21" s="75">
        <f>SUM(Table5[[#This Row],[Physical]:[Frenzy]])</f>
        <v>471</v>
      </c>
      <c r="O21" s="75">
        <f>RANK(Table5[[#This Row],[TOTAL]],Table5[TOTAL])</f>
        <v>7</v>
      </c>
      <c r="P21" s="75">
        <f>RANK(O21,$O$2:$O$100,1)+COUNTIF($O$1:O20,O21)</f>
        <v>8</v>
      </c>
      <c r="Q21" s="75" cm="1">
        <f t="array" ref="Q21">INDEX($B21:$L21, 1, VLOOKUP(Config!$B$2, Config!$E$2:$F$12, 2, FALSE)-1)</f>
        <v>60</v>
      </c>
      <c r="R21" s="75" cm="1">
        <f t="array" ref="R21">INDEX($B21:$L21, 1, VLOOKUP(Config!$B$3, Config!$E$2:$F$12, 2, FALSE)-1)</f>
        <v>50</v>
      </c>
      <c r="S21" s="75">
        <f t="shared" si="0"/>
        <v>60050471</v>
      </c>
      <c r="T21" s="75">
        <f t="shared" si="1"/>
        <v>13</v>
      </c>
    </row>
    <row r="22" spans="1:20" ht="17" customHeight="1" x14ac:dyDescent="0.35">
      <c r="A22" s="75" t="s">
        <v>128</v>
      </c>
      <c r="B22" s="75">
        <v>60</v>
      </c>
      <c r="C22" s="75">
        <v>60</v>
      </c>
      <c r="D22" s="75">
        <v>50</v>
      </c>
      <c r="E22" s="75">
        <v>60</v>
      </c>
      <c r="F22" s="75">
        <v>50</v>
      </c>
      <c r="G22" s="75">
        <v>60</v>
      </c>
      <c r="H22" s="75">
        <v>50</v>
      </c>
      <c r="I22" s="75">
        <v>10</v>
      </c>
      <c r="J22" s="75">
        <v>19</v>
      </c>
      <c r="K22" s="75">
        <v>30</v>
      </c>
      <c r="L22" s="75">
        <v>27</v>
      </c>
      <c r="M22" s="75">
        <f>SUMPRODUCT(Table5[[#This Row],[Physical]:[Beasthood]],Utility!$H$9:$R$9)</f>
        <v>248.5</v>
      </c>
      <c r="N22" s="75">
        <f>SUM(Table5[[#This Row],[Physical]:[Frenzy]])</f>
        <v>449</v>
      </c>
      <c r="O22" s="75">
        <f>RANK(Table5[[#This Row],[TOTAL]],Table5[TOTAL])</f>
        <v>11</v>
      </c>
      <c r="P22" s="75">
        <f>RANK(O22,$O$2:$O$100,1)+COUNTIF($O$1:O21,O22)</f>
        <v>11</v>
      </c>
      <c r="Q22" s="75" cm="1">
        <f t="array" ref="Q22">INDEX($B22:$L22, 1, VLOOKUP(Config!$B$2, Config!$E$2:$F$12, 2, FALSE)-1)</f>
        <v>60</v>
      </c>
      <c r="R22" s="75" cm="1">
        <f t="array" ref="R22">INDEX($B22:$L22, 1, VLOOKUP(Config!$B$3, Config!$E$2:$F$12, 2, FALSE)-1)</f>
        <v>60</v>
      </c>
      <c r="S22" s="75">
        <f t="shared" si="0"/>
        <v>60060449</v>
      </c>
      <c r="T22" s="75">
        <f t="shared" si="1"/>
        <v>8</v>
      </c>
    </row>
    <row r="23" spans="1:20" ht="17" customHeight="1" x14ac:dyDescent="0.35">
      <c r="A23" s="75" t="s">
        <v>129</v>
      </c>
      <c r="B23" s="75">
        <v>50</v>
      </c>
      <c r="C23" s="75">
        <v>50</v>
      </c>
      <c r="D23" s="75">
        <v>60</v>
      </c>
      <c r="E23" s="75">
        <v>70</v>
      </c>
      <c r="F23" s="75">
        <v>50</v>
      </c>
      <c r="G23" s="75">
        <v>50</v>
      </c>
      <c r="H23" s="75">
        <v>50</v>
      </c>
      <c r="I23" s="75">
        <v>15</v>
      </c>
      <c r="J23" s="75">
        <v>24</v>
      </c>
      <c r="K23" s="75">
        <v>23</v>
      </c>
      <c r="L23" s="75">
        <v>21</v>
      </c>
      <c r="M23" s="75">
        <f>SUMPRODUCT(Table5[[#This Row],[Physical]:[Beasthood]],Utility!$H$9:$R$9)</f>
        <v>235.6</v>
      </c>
      <c r="N23" s="75">
        <f>SUM(Table5[[#This Row],[Physical]:[Frenzy]])</f>
        <v>442</v>
      </c>
      <c r="O23" s="75">
        <f>RANK(Table5[[#This Row],[TOTAL]],Table5[TOTAL])</f>
        <v>22</v>
      </c>
      <c r="P23" s="75">
        <f>RANK(O23,$O$2:$O$100,1)+COUNTIF($O$1:O22,O23)</f>
        <v>22</v>
      </c>
      <c r="Q23" s="75" cm="1">
        <f t="array" ref="Q23">INDEX($B23:$L23, 1, VLOOKUP(Config!$B$2, Config!$E$2:$F$12, 2, FALSE)-1)</f>
        <v>50</v>
      </c>
      <c r="R23" s="75" cm="1">
        <f t="array" ref="R23">INDEX($B23:$L23, 1, VLOOKUP(Config!$B$3, Config!$E$2:$F$12, 2, FALSE)-1)</f>
        <v>50</v>
      </c>
      <c r="S23" s="75">
        <f t="shared" si="0"/>
        <v>50050442</v>
      </c>
      <c r="T23" s="75">
        <f t="shared" si="1"/>
        <v>23</v>
      </c>
    </row>
    <row r="24" spans="1:20" ht="17" customHeight="1" x14ac:dyDescent="0.35">
      <c r="A24" s="75" t="s">
        <v>130</v>
      </c>
      <c r="B24" s="75">
        <v>50</v>
      </c>
      <c r="C24" s="75">
        <v>50</v>
      </c>
      <c r="D24" s="75">
        <v>60</v>
      </c>
      <c r="E24" s="75">
        <v>50</v>
      </c>
      <c r="F24" s="75">
        <v>70</v>
      </c>
      <c r="G24" s="75">
        <v>40</v>
      </c>
      <c r="H24" s="75">
        <v>60</v>
      </c>
      <c r="I24" s="75">
        <v>33</v>
      </c>
      <c r="J24" s="75">
        <v>29</v>
      </c>
      <c r="K24" s="75">
        <v>2</v>
      </c>
      <c r="L24" s="75">
        <v>17</v>
      </c>
      <c r="M24" s="75">
        <f>SUMPRODUCT(Table5[[#This Row],[Physical]:[Beasthood]],Utility!$H$9:$R$9)</f>
        <v>236.6</v>
      </c>
      <c r="N24" s="75">
        <f>SUM(Table5[[#This Row],[Physical]:[Frenzy]])</f>
        <v>444</v>
      </c>
      <c r="O24" s="75">
        <f>RANK(Table5[[#This Row],[TOTAL]],Table5[TOTAL])</f>
        <v>20</v>
      </c>
      <c r="P24" s="75">
        <f>RANK(O24,$O$2:$O$100,1)+COUNTIF($O$1:O23,O24)</f>
        <v>20</v>
      </c>
      <c r="Q24" s="75" cm="1">
        <f t="array" ref="Q24">INDEX($B24:$L24, 1, VLOOKUP(Config!$B$2, Config!$E$2:$F$12, 2, FALSE)-1)</f>
        <v>40</v>
      </c>
      <c r="R24" s="75" cm="1">
        <f t="array" ref="R24">INDEX($B24:$L24, 1, VLOOKUP(Config!$B$3, Config!$E$2:$F$12, 2, FALSE)-1)</f>
        <v>50</v>
      </c>
      <c r="S24" s="75">
        <f t="shared" si="0"/>
        <v>40050444</v>
      </c>
      <c r="T24" s="75">
        <f t="shared" si="1"/>
        <v>29</v>
      </c>
    </row>
    <row r="25" spans="1:20" ht="17" customHeight="1" x14ac:dyDescent="0.35">
      <c r="A25" s="75" t="s">
        <v>131</v>
      </c>
      <c r="B25" s="75">
        <v>50</v>
      </c>
      <c r="C25" s="75">
        <v>50</v>
      </c>
      <c r="D25" s="75">
        <v>60</v>
      </c>
      <c r="E25" s="75">
        <v>80</v>
      </c>
      <c r="F25" s="75">
        <v>50</v>
      </c>
      <c r="G25" s="75">
        <v>50</v>
      </c>
      <c r="H25" s="75">
        <v>50</v>
      </c>
      <c r="I25" s="75">
        <v>11</v>
      </c>
      <c r="J25" s="75">
        <v>30</v>
      </c>
      <c r="K25" s="75">
        <v>17</v>
      </c>
      <c r="L25" s="75">
        <v>9</v>
      </c>
      <c r="M25" s="75">
        <f>SUMPRODUCT(Table5[[#This Row],[Physical]:[Beasthood]],Utility!$H$9:$R$9)</f>
        <v>239.6</v>
      </c>
      <c r="N25" s="75">
        <f>SUM(Table5[[#This Row],[Physical]:[Frenzy]])</f>
        <v>448</v>
      </c>
      <c r="O25" s="75">
        <f>RANK(Table5[[#This Row],[TOTAL]],Table5[TOTAL])</f>
        <v>17</v>
      </c>
      <c r="P25" s="75">
        <f>RANK(O25,$O$2:$O$100,1)+COUNTIF($O$1:O24,O25)</f>
        <v>17</v>
      </c>
      <c r="Q25" s="75" cm="1">
        <f t="array" ref="Q25">INDEX($B25:$L25, 1, VLOOKUP(Config!$B$2, Config!$E$2:$F$12, 2, FALSE)-1)</f>
        <v>50</v>
      </c>
      <c r="R25" s="75" cm="1">
        <f t="array" ref="R25">INDEX($B25:$L25, 1, VLOOKUP(Config!$B$3, Config!$E$2:$F$12, 2, FALSE)-1)</f>
        <v>50</v>
      </c>
      <c r="S25" s="75">
        <f t="shared" si="0"/>
        <v>50050448</v>
      </c>
      <c r="T25" s="75">
        <f t="shared" si="1"/>
        <v>21</v>
      </c>
    </row>
    <row r="26" spans="1:20" ht="17" customHeight="1" x14ac:dyDescent="0.35">
      <c r="A26" s="75" t="s">
        <v>132</v>
      </c>
      <c r="B26" s="75">
        <v>60</v>
      </c>
      <c r="C26" s="75">
        <v>50</v>
      </c>
      <c r="D26" s="75">
        <v>60</v>
      </c>
      <c r="E26" s="75">
        <v>60</v>
      </c>
      <c r="F26" s="75">
        <v>50</v>
      </c>
      <c r="G26" s="75">
        <v>70</v>
      </c>
      <c r="H26" s="75">
        <v>40</v>
      </c>
      <c r="I26" s="75">
        <v>11</v>
      </c>
      <c r="J26" s="75">
        <v>11</v>
      </c>
      <c r="K26" s="75">
        <v>25</v>
      </c>
      <c r="L26" s="75">
        <v>33</v>
      </c>
      <c r="M26" s="75">
        <f>SUMPRODUCT(Table5[[#This Row],[Physical]:[Beasthood]],Utility!$H$9:$R$9)</f>
        <v>250.6</v>
      </c>
      <c r="N26" s="75">
        <f>SUM(Table5[[#This Row],[Physical]:[Frenzy]])</f>
        <v>437</v>
      </c>
      <c r="O26" s="75">
        <f>RANK(Table5[[#This Row],[TOTAL]],Table5[TOTAL])</f>
        <v>7</v>
      </c>
      <c r="P26" s="75">
        <f>RANK(O26,$O$2:$O$100,1)+COUNTIF($O$1:O25,O26)</f>
        <v>9</v>
      </c>
      <c r="Q26" s="75" cm="1">
        <f t="array" ref="Q26">INDEX($B26:$L26, 1, VLOOKUP(Config!$B$2, Config!$E$2:$F$12, 2, FALSE)-1)</f>
        <v>70</v>
      </c>
      <c r="R26" s="75" cm="1">
        <f t="array" ref="R26">INDEX($B26:$L26, 1, VLOOKUP(Config!$B$3, Config!$E$2:$F$12, 2, FALSE)-1)</f>
        <v>60</v>
      </c>
      <c r="S26" s="75">
        <f t="shared" si="0"/>
        <v>70060437</v>
      </c>
      <c r="T26" s="75">
        <f t="shared" si="1"/>
        <v>5</v>
      </c>
    </row>
    <row r="27" spans="1:20" ht="17" customHeight="1" x14ac:dyDescent="0.35">
      <c r="A27" s="75" t="s">
        <v>133</v>
      </c>
      <c r="B27" s="75">
        <v>50</v>
      </c>
      <c r="C27" s="75">
        <v>50</v>
      </c>
      <c r="D27" s="75">
        <v>50</v>
      </c>
      <c r="E27" s="75">
        <v>60</v>
      </c>
      <c r="F27" s="75">
        <v>70</v>
      </c>
      <c r="G27" s="75">
        <v>50</v>
      </c>
      <c r="H27" s="75">
        <v>50</v>
      </c>
      <c r="I27" s="75">
        <v>24</v>
      </c>
      <c r="J27" s="75">
        <v>18</v>
      </c>
      <c r="K27" s="75">
        <v>19</v>
      </c>
      <c r="L27" s="75">
        <v>19</v>
      </c>
      <c r="M27" s="75">
        <f>SUMPRODUCT(Table5[[#This Row],[Physical]:[Beasthood]],Utility!$H$9:$R$9)</f>
        <v>236.5</v>
      </c>
      <c r="N27" s="75">
        <f>SUM(Table5[[#This Row],[Physical]:[Frenzy]])</f>
        <v>441</v>
      </c>
      <c r="O27" s="75">
        <f>RANK(Table5[[#This Row],[TOTAL]],Table5[TOTAL])</f>
        <v>21</v>
      </c>
      <c r="P27" s="75">
        <f>RANK(O27,$O$2:$O$100,1)+COUNTIF($O$1:O26,O27)</f>
        <v>21</v>
      </c>
      <c r="Q27" s="75" cm="1">
        <f t="array" ref="Q27">INDEX($B27:$L27, 1, VLOOKUP(Config!$B$2, Config!$E$2:$F$12, 2, FALSE)-1)</f>
        <v>50</v>
      </c>
      <c r="R27" s="75" cm="1">
        <f t="array" ref="R27">INDEX($B27:$L27, 1, VLOOKUP(Config!$B$3, Config!$E$2:$F$12, 2, FALSE)-1)</f>
        <v>50</v>
      </c>
      <c r="S27" s="75">
        <f t="shared" si="0"/>
        <v>50050441</v>
      </c>
      <c r="T27" s="75">
        <f t="shared" si="1"/>
        <v>24</v>
      </c>
    </row>
    <row r="28" spans="1:20" ht="17" customHeight="1" x14ac:dyDescent="0.35">
      <c r="A28" s="75" t="s">
        <v>134</v>
      </c>
      <c r="B28" s="75">
        <v>50</v>
      </c>
      <c r="C28" s="75">
        <v>60</v>
      </c>
      <c r="D28" s="75">
        <v>60</v>
      </c>
      <c r="E28" s="75">
        <v>60</v>
      </c>
      <c r="F28" s="75">
        <v>70</v>
      </c>
      <c r="G28" s="75">
        <v>60</v>
      </c>
      <c r="H28" s="75">
        <v>50</v>
      </c>
      <c r="I28" s="75">
        <v>31</v>
      </c>
      <c r="J28" s="75">
        <v>29</v>
      </c>
      <c r="K28" s="75">
        <v>8</v>
      </c>
      <c r="L28" s="75">
        <v>26</v>
      </c>
      <c r="M28" s="75">
        <f>SUMPRODUCT(Table5[[#This Row],[Physical]:[Beasthood]],Utility!$H$9:$R$9)</f>
        <v>257.60000000000002</v>
      </c>
      <c r="N28" s="75">
        <f>SUM(Table5[[#This Row],[Physical]:[Frenzy]])</f>
        <v>478</v>
      </c>
      <c r="O28" s="75">
        <f>RANK(Table5[[#This Row],[TOTAL]],Table5[TOTAL])</f>
        <v>2</v>
      </c>
      <c r="P28" s="75">
        <f>RANK(O28,$O$2:$O$100,1)+COUNTIF($O$1:O27,O28)</f>
        <v>2</v>
      </c>
      <c r="Q28" s="75" cm="1">
        <f t="array" ref="Q28">INDEX($B28:$L28, 1, VLOOKUP(Config!$B$2, Config!$E$2:$F$12, 2, FALSE)-1)</f>
        <v>60</v>
      </c>
      <c r="R28" s="75" cm="1">
        <f t="array" ref="R28">INDEX($B28:$L28, 1, VLOOKUP(Config!$B$3, Config!$E$2:$F$12, 2, FALSE)-1)</f>
        <v>50</v>
      </c>
      <c r="S28" s="75">
        <f t="shared" si="0"/>
        <v>60050478</v>
      </c>
      <c r="T28" s="75">
        <f t="shared" si="1"/>
        <v>11</v>
      </c>
    </row>
    <row r="29" spans="1:20" ht="17" customHeight="1" x14ac:dyDescent="0.35">
      <c r="A29" s="75" t="s">
        <v>135</v>
      </c>
      <c r="B29" s="75">
        <v>50</v>
      </c>
      <c r="C29" s="75">
        <v>40</v>
      </c>
      <c r="D29" s="75">
        <v>50</v>
      </c>
      <c r="E29" s="75">
        <v>80</v>
      </c>
      <c r="F29" s="75">
        <v>70</v>
      </c>
      <c r="G29" s="75">
        <v>60</v>
      </c>
      <c r="H29" s="75">
        <v>60</v>
      </c>
      <c r="I29" s="75">
        <v>36</v>
      </c>
      <c r="J29" s="75">
        <v>31</v>
      </c>
      <c r="K29" s="75">
        <v>7</v>
      </c>
      <c r="L29" s="75">
        <v>21</v>
      </c>
      <c r="M29" s="75">
        <f>SUMPRODUCT(Table5[[#This Row],[Physical]:[Beasthood]],Utility!$H$9:$R$9)</f>
        <v>245.5</v>
      </c>
      <c r="N29" s="75">
        <f>SUM(Table5[[#This Row],[Physical]:[Frenzy]])</f>
        <v>484</v>
      </c>
      <c r="O29" s="75">
        <f>RANK(Table5[[#This Row],[TOTAL]],Table5[TOTAL])</f>
        <v>13</v>
      </c>
      <c r="P29" s="75">
        <f>RANK(O29,$O$2:$O$100,1)+COUNTIF($O$1:O28,O29)</f>
        <v>13</v>
      </c>
      <c r="Q29" s="75" cm="1">
        <f t="array" ref="Q29">INDEX($B29:$L29, 1, VLOOKUP(Config!$B$2, Config!$E$2:$F$12, 2, FALSE)-1)</f>
        <v>60</v>
      </c>
      <c r="R29" s="75" cm="1">
        <f t="array" ref="R29">INDEX($B29:$L29, 1, VLOOKUP(Config!$B$3, Config!$E$2:$F$12, 2, FALSE)-1)</f>
        <v>50</v>
      </c>
      <c r="S29" s="75">
        <f t="shared" si="0"/>
        <v>60050484</v>
      </c>
      <c r="T29" s="75">
        <f t="shared" si="1"/>
        <v>9</v>
      </c>
    </row>
    <row r="30" spans="1:20" ht="17" customHeight="1" x14ac:dyDescent="0.35">
      <c r="A30" s="75" t="s">
        <v>136</v>
      </c>
      <c r="B30" s="75">
        <v>40</v>
      </c>
      <c r="C30" s="75">
        <v>40</v>
      </c>
      <c r="D30" s="75">
        <v>50</v>
      </c>
      <c r="E30" s="75">
        <v>50</v>
      </c>
      <c r="F30" s="75">
        <v>60</v>
      </c>
      <c r="G30" s="75">
        <v>90</v>
      </c>
      <c r="H30" s="75">
        <v>50</v>
      </c>
      <c r="I30" s="75">
        <v>21</v>
      </c>
      <c r="J30" s="75">
        <v>19</v>
      </c>
      <c r="K30" s="75">
        <v>19</v>
      </c>
      <c r="L30" s="75">
        <v>15</v>
      </c>
      <c r="M30" s="75">
        <f>SUMPRODUCT(Table5[[#This Row],[Physical]:[Beasthood]],Utility!$H$9:$R$9)</f>
        <v>232.5</v>
      </c>
      <c r="N30" s="75">
        <f>SUM(Table5[[#This Row],[Physical]:[Frenzy]])</f>
        <v>439</v>
      </c>
      <c r="O30" s="75">
        <f>RANK(Table5[[#This Row],[TOTAL]],Table5[TOTAL])</f>
        <v>25</v>
      </c>
      <c r="P30" s="75">
        <f>RANK(O30,$O$2:$O$100,1)+COUNTIF($O$1:O29,O30)</f>
        <v>25</v>
      </c>
      <c r="Q30" s="75" cm="1">
        <f t="array" ref="Q30">INDEX($B30:$L30, 1, VLOOKUP(Config!$B$2, Config!$E$2:$F$12, 2, FALSE)-1)</f>
        <v>90</v>
      </c>
      <c r="R30" s="75" cm="1">
        <f t="array" ref="R30">INDEX($B30:$L30, 1, VLOOKUP(Config!$B$3, Config!$E$2:$F$12, 2, FALSE)-1)</f>
        <v>40</v>
      </c>
      <c r="S30" s="75">
        <f t="shared" si="0"/>
        <v>90040439</v>
      </c>
      <c r="T30" s="75">
        <f t="shared" si="1"/>
        <v>1</v>
      </c>
    </row>
    <row r="31" spans="1:20" ht="17" customHeight="1" x14ac:dyDescent="0.35">
      <c r="A31" s="75" t="s">
        <v>137</v>
      </c>
      <c r="B31" s="75">
        <v>60</v>
      </c>
      <c r="C31" s="75">
        <v>60</v>
      </c>
      <c r="D31" s="75">
        <v>60</v>
      </c>
      <c r="E31" s="75">
        <v>60</v>
      </c>
      <c r="F31" s="75">
        <v>40</v>
      </c>
      <c r="G31" s="75">
        <v>40</v>
      </c>
      <c r="H31" s="75">
        <v>40</v>
      </c>
      <c r="I31" s="75">
        <v>26</v>
      </c>
      <c r="J31" s="75">
        <v>21</v>
      </c>
      <c r="K31" s="75">
        <v>24</v>
      </c>
      <c r="L31" s="75">
        <v>21</v>
      </c>
      <c r="M31" s="75">
        <f>SUMPRODUCT(Table5[[#This Row],[Physical]:[Beasthood]],Utility!$H$9:$R$9)</f>
        <v>234.6</v>
      </c>
      <c r="N31" s="75">
        <f>SUM(Table5[[#This Row],[Physical]:[Frenzy]])</f>
        <v>431</v>
      </c>
      <c r="O31" s="75">
        <f>RANK(Table5[[#This Row],[TOTAL]],Table5[TOTAL])</f>
        <v>23</v>
      </c>
      <c r="P31" s="75">
        <f>RANK(O31,$O$2:$O$100,1)+COUNTIF($O$1:O30,O31)</f>
        <v>23</v>
      </c>
      <c r="Q31" s="75" cm="1">
        <f t="array" ref="Q31">INDEX($B31:$L31, 1, VLOOKUP(Config!$B$2, Config!$E$2:$F$12, 2, FALSE)-1)</f>
        <v>40</v>
      </c>
      <c r="R31" s="75" cm="1">
        <f t="array" ref="R31">INDEX($B31:$L31, 1, VLOOKUP(Config!$B$3, Config!$E$2:$F$12, 2, FALSE)-1)</f>
        <v>60</v>
      </c>
      <c r="S31" s="75">
        <f t="shared" si="0"/>
        <v>40060431</v>
      </c>
      <c r="T31" s="75">
        <f t="shared" si="1"/>
        <v>27</v>
      </c>
    </row>
    <row r="32" spans="1:20" ht="17" customHeight="1" x14ac:dyDescent="0.35">
      <c r="A32" s="76" t="s">
        <v>138</v>
      </c>
      <c r="B32" s="76">
        <v>50</v>
      </c>
      <c r="C32" s="76">
        <v>60</v>
      </c>
      <c r="D32" s="76">
        <v>60</v>
      </c>
      <c r="E32" s="76">
        <v>50</v>
      </c>
      <c r="F32" s="76">
        <v>50</v>
      </c>
      <c r="G32" s="76">
        <v>60</v>
      </c>
      <c r="H32" s="76">
        <v>60</v>
      </c>
      <c r="I32" s="76">
        <v>27</v>
      </c>
      <c r="J32" s="76">
        <v>23</v>
      </c>
      <c r="K32" s="76">
        <v>24</v>
      </c>
      <c r="L32" s="76">
        <v>27</v>
      </c>
      <c r="M32" s="76">
        <f>SUMPRODUCT(Table5[[#This Row],[Physical]:[Beasthood]],Utility!$H$9:$R$9)</f>
        <v>244.6</v>
      </c>
      <c r="N32" s="76">
        <f>SUM(Table5[[#This Row],[Physical]:[Frenzy]])</f>
        <v>464</v>
      </c>
      <c r="O32" s="76">
        <f>RANK(Table5[[#This Row],[TOTAL]],Table5[TOTAL])</f>
        <v>14</v>
      </c>
      <c r="P32" s="76">
        <f>RANK(O32,$O$2:$O$100,1)+COUNTIF($O$1:O31,O32)</f>
        <v>14</v>
      </c>
      <c r="Q32" s="76" cm="1">
        <f t="array" ref="Q32">INDEX($B32:$L32, 1, VLOOKUP(Config!$B$2, Config!$E$2:$F$12, 2, FALSE)-1)</f>
        <v>60</v>
      </c>
      <c r="R32" s="76" cm="1">
        <f t="array" ref="R32">INDEX($B32:$L32, 1, VLOOKUP(Config!$B$3, Config!$E$2:$F$12, 2, FALSE)-1)</f>
        <v>50</v>
      </c>
      <c r="S32" s="76">
        <f t="shared" si="0"/>
        <v>60050464</v>
      </c>
      <c r="T32" s="76">
        <f t="shared" si="1"/>
        <v>16</v>
      </c>
    </row>
  </sheetData>
  <conditionalFormatting sqref="B2:L32">
    <cfRule type="colorScale" priority="2">
      <colorScale>
        <cfvo type="min"/>
        <cfvo type="percentile" val="50"/>
        <cfvo type="max"/>
        <color rgb="FFF8696B"/>
        <color rgb="FFFFEB84"/>
        <color rgb="FF63BE7B"/>
      </colorScale>
    </cfRule>
  </conditionalFormatting>
  <conditionalFormatting sqref="M2:M32">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C4ECB-CAC1-4DB4-B627-632F1669EEEB}">
  <sheetPr codeName="Sheet10"/>
  <dimension ref="A1:T38"/>
  <sheetViews>
    <sheetView workbookViewId="0">
      <selection activeCell="N37" sqref="N37"/>
    </sheetView>
  </sheetViews>
  <sheetFormatPr defaultRowHeight="14.5" x14ac:dyDescent="0.35"/>
  <cols>
    <col min="1" max="1" width="32.81640625" customWidth="1"/>
    <col min="2" max="2" width="12" customWidth="1"/>
    <col min="3" max="3" width="9.7265625" customWidth="1"/>
    <col min="4" max="4" width="10.81640625" customWidth="1"/>
    <col min="5" max="5" width="10.6328125" customWidth="1"/>
    <col min="6" max="6" width="11.453125" customWidth="1"/>
    <col min="7" max="7" width="9.6328125" customWidth="1"/>
    <col min="8" max="8" width="8.90625" customWidth="1"/>
    <col min="9" max="9" width="14.08984375" customWidth="1"/>
    <col min="10" max="10" width="16" customWidth="1"/>
    <col min="11" max="11" width="13.54296875" customWidth="1"/>
    <col min="12" max="12" width="14.90625" customWidth="1"/>
    <col min="13" max="13" width="14.26953125" customWidth="1"/>
    <col min="14" max="14" width="15.453125" customWidth="1"/>
    <col min="15" max="15" width="12" customWidth="1"/>
  </cols>
  <sheetData>
    <row r="1" spans="1:20" x14ac:dyDescent="0.35">
      <c r="A1" s="93" t="s">
        <v>213</v>
      </c>
      <c r="B1" s="94" t="s">
        <v>0</v>
      </c>
      <c r="C1" s="94" t="s">
        <v>1</v>
      </c>
      <c r="D1" s="94" t="s">
        <v>2</v>
      </c>
      <c r="E1" s="94" t="s">
        <v>3</v>
      </c>
      <c r="F1" s="94" t="s">
        <v>4</v>
      </c>
      <c r="G1" s="94" t="s">
        <v>5</v>
      </c>
      <c r="H1" s="94" t="s">
        <v>6</v>
      </c>
      <c r="I1" s="94" t="s">
        <v>7</v>
      </c>
      <c r="J1" s="94" t="s">
        <v>8</v>
      </c>
      <c r="K1" s="94" t="s">
        <v>9</v>
      </c>
      <c r="L1" s="95" t="s">
        <v>10</v>
      </c>
      <c r="M1" s="96" t="s">
        <v>47</v>
      </c>
      <c r="N1" s="94" t="s">
        <v>145</v>
      </c>
      <c r="O1" s="94" t="s">
        <v>144</v>
      </c>
      <c r="P1" s="94" t="s">
        <v>153</v>
      </c>
      <c r="Q1" s="94" t="s">
        <v>180</v>
      </c>
      <c r="R1" s="94" t="s">
        <v>181</v>
      </c>
      <c r="S1" s="94" t="s">
        <v>182</v>
      </c>
      <c r="T1" s="94" t="s">
        <v>183</v>
      </c>
    </row>
    <row r="2" spans="1:20" x14ac:dyDescent="0.35">
      <c r="A2" s="10" t="s">
        <v>214</v>
      </c>
      <c r="B2" s="7">
        <v>250</v>
      </c>
      <c r="C2" s="7">
        <v>260</v>
      </c>
      <c r="D2" s="7">
        <v>220</v>
      </c>
      <c r="E2" s="7">
        <v>260</v>
      </c>
      <c r="F2" s="7">
        <v>190</v>
      </c>
      <c r="G2" s="7">
        <v>190</v>
      </c>
      <c r="H2" s="7">
        <v>210</v>
      </c>
      <c r="I2" s="7">
        <v>62</v>
      </c>
      <c r="J2" s="7">
        <v>107</v>
      </c>
      <c r="K2" s="7">
        <v>137</v>
      </c>
      <c r="L2" s="7">
        <v>176</v>
      </c>
      <c r="M2" s="97">
        <f>SUMPRODUCT(Table6[[#This Row],[Physical]:[Beasthood]],Utility!$H$9:$R$9)</f>
        <v>1009.2</v>
      </c>
      <c r="N2" s="7">
        <f>SUM(Table6[[#This Row],[Physical]:[Frenzy]])</f>
        <v>1886</v>
      </c>
      <c r="O2" s="7">
        <f>RANK(Table6[[#This Row],[TOTAL]],Table6[TOTAL])</f>
        <v>23</v>
      </c>
      <c r="P2" s="7">
        <f>RANK(O2,$O$2:$O$100,1)+COUNTIF($O$1:O1,O2)</f>
        <v>23</v>
      </c>
      <c r="Q2" s="74" cm="1">
        <f t="array" ref="Q2">INDEX($B2:$L2, 1, VLOOKUP(Config!$B$2, Config!$E$2:$F$12, 2, FALSE)-1)</f>
        <v>190</v>
      </c>
      <c r="R2" s="74" cm="1">
        <f t="array" ref="R2">INDEX($B2:$L2, 1, VLOOKUP(Config!$B$3, Config!$E$2:$F$12, 2, FALSE)-1)</f>
        <v>250</v>
      </c>
      <c r="S2" s="7">
        <f t="shared" ref="S2:S34" si="0">Q2*1000000 + R2*1000 + N2</f>
        <v>190251886</v>
      </c>
      <c r="T2" s="7">
        <f t="shared" ref="T2:T34" si="1">RANK(S2, $S$2:$S$100, 0)</f>
        <v>27</v>
      </c>
    </row>
    <row r="3" spans="1:20" x14ac:dyDescent="0.35">
      <c r="A3" s="75" t="s">
        <v>215</v>
      </c>
      <c r="B3" s="70">
        <v>220</v>
      </c>
      <c r="C3" s="70">
        <v>220</v>
      </c>
      <c r="D3" s="70">
        <v>260</v>
      </c>
      <c r="E3" s="70">
        <v>300</v>
      </c>
      <c r="F3" s="70">
        <v>280</v>
      </c>
      <c r="G3" s="70">
        <v>260</v>
      </c>
      <c r="H3" s="70">
        <v>270</v>
      </c>
      <c r="I3" s="70">
        <v>146</v>
      </c>
      <c r="J3" s="70">
        <v>141</v>
      </c>
      <c r="K3" s="70">
        <v>20</v>
      </c>
      <c r="L3" s="70">
        <v>98</v>
      </c>
      <c r="M3" s="97">
        <f>SUMPRODUCT(Table6[[#This Row],[Physical]:[Beasthood]],Utility!$H$9:$R$9)</f>
        <v>1105.5999999999999</v>
      </c>
      <c r="N3" s="70">
        <f>SUM(Table6[[#This Row],[Physical]:[Frenzy]])</f>
        <v>2117</v>
      </c>
      <c r="O3" s="70">
        <f>RANK(Table6[[#This Row],[TOTAL]],Table6[TOTAL])</f>
        <v>5</v>
      </c>
      <c r="P3" s="70">
        <f>RANK(O3,$O$2:$O$100,1)+COUNTIF($O$1:O2,O3)</f>
        <v>5</v>
      </c>
      <c r="Q3" s="70" cm="1">
        <f t="array" ref="Q3">INDEX($B3:$L3, 1, VLOOKUP(Config!$B$2, Config!$E$2:$F$12, 2, FALSE)-1)</f>
        <v>260</v>
      </c>
      <c r="R3" s="70" cm="1">
        <f t="array" ref="R3">INDEX($B3:$L3, 1, VLOOKUP(Config!$B$3, Config!$E$2:$F$12, 2, FALSE)-1)</f>
        <v>220</v>
      </c>
      <c r="S3" s="70">
        <f t="shared" si="0"/>
        <v>260222117</v>
      </c>
      <c r="T3" s="70">
        <f t="shared" si="1"/>
        <v>16</v>
      </c>
    </row>
    <row r="4" spans="1:20" x14ac:dyDescent="0.35">
      <c r="A4" s="75" t="s">
        <v>216</v>
      </c>
      <c r="B4" s="70">
        <v>290</v>
      </c>
      <c r="C4" s="70">
        <v>180</v>
      </c>
      <c r="D4" s="70">
        <v>240</v>
      </c>
      <c r="E4" s="70">
        <v>140</v>
      </c>
      <c r="F4" s="70">
        <v>140</v>
      </c>
      <c r="G4" s="70">
        <v>350</v>
      </c>
      <c r="H4" s="70">
        <v>340</v>
      </c>
      <c r="I4" s="70">
        <v>80</v>
      </c>
      <c r="J4" s="70">
        <v>70</v>
      </c>
      <c r="K4" s="70">
        <v>101</v>
      </c>
      <c r="L4" s="70">
        <v>61</v>
      </c>
      <c r="M4" s="97">
        <f>SUMPRODUCT(Table6[[#This Row],[Physical]:[Beasthood]],Utility!$H$9:$R$9)</f>
        <v>1056.4000000000001</v>
      </c>
      <c r="N4" s="70">
        <f>SUM(Table6[[#This Row],[Physical]:[Frenzy]])</f>
        <v>1931</v>
      </c>
      <c r="O4" s="70">
        <f>RANK(Table6[[#This Row],[TOTAL]],Table6[TOTAL])</f>
        <v>15</v>
      </c>
      <c r="P4" s="70">
        <f>RANK(O4,$O$2:$O$100,1)+COUNTIF($O$1:O3,O4)</f>
        <v>15</v>
      </c>
      <c r="Q4" s="70" cm="1">
        <f t="array" ref="Q4">INDEX($B4:$L4, 1, VLOOKUP(Config!$B$2, Config!$E$2:$F$12, 2, FALSE)-1)</f>
        <v>350</v>
      </c>
      <c r="R4" s="70" cm="1">
        <f t="array" ref="R4">INDEX($B4:$L4, 1, VLOOKUP(Config!$B$3, Config!$E$2:$F$12, 2, FALSE)-1)</f>
        <v>290</v>
      </c>
      <c r="S4" s="70">
        <f t="shared" si="0"/>
        <v>350291931</v>
      </c>
      <c r="T4" s="70">
        <f t="shared" si="1"/>
        <v>2</v>
      </c>
    </row>
    <row r="5" spans="1:20" x14ac:dyDescent="0.35">
      <c r="A5" s="75" t="s">
        <v>217</v>
      </c>
      <c r="B5" s="70">
        <v>240</v>
      </c>
      <c r="C5" s="70">
        <v>270</v>
      </c>
      <c r="D5" s="70">
        <v>190</v>
      </c>
      <c r="E5" s="70">
        <v>220</v>
      </c>
      <c r="F5" s="70">
        <v>170</v>
      </c>
      <c r="G5" s="70">
        <v>130</v>
      </c>
      <c r="H5" s="70">
        <v>170</v>
      </c>
      <c r="I5" s="70">
        <v>77</v>
      </c>
      <c r="J5" s="70">
        <v>70</v>
      </c>
      <c r="K5" s="70">
        <v>56</v>
      </c>
      <c r="L5" s="70">
        <v>204</v>
      </c>
      <c r="M5" s="97">
        <f>SUMPRODUCT(Table6[[#This Row],[Physical]:[Beasthood]],Utility!$H$9:$R$9)</f>
        <v>909.9</v>
      </c>
      <c r="N5" s="70">
        <f>SUM(Table6[[#This Row],[Physical]:[Frenzy]])</f>
        <v>1593</v>
      </c>
      <c r="O5" s="70">
        <f>RANK(Table6[[#This Row],[TOTAL]],Table6[TOTAL])</f>
        <v>31</v>
      </c>
      <c r="P5" s="70">
        <f>RANK(O5,$O$2:$O$100,1)+COUNTIF($O$1:O4,O5)</f>
        <v>31</v>
      </c>
      <c r="Q5" s="70" cm="1">
        <f t="array" ref="Q5">INDEX($B5:$L5, 1, VLOOKUP(Config!$B$2, Config!$E$2:$F$12, 2, FALSE)-1)</f>
        <v>130</v>
      </c>
      <c r="R5" s="70" cm="1">
        <f t="array" ref="R5">INDEX($B5:$L5, 1, VLOOKUP(Config!$B$3, Config!$E$2:$F$12, 2, FALSE)-1)</f>
        <v>240</v>
      </c>
      <c r="S5" s="70">
        <f t="shared" si="0"/>
        <v>130241593</v>
      </c>
      <c r="T5" s="70">
        <f t="shared" si="1"/>
        <v>33</v>
      </c>
    </row>
    <row r="6" spans="1:20" x14ac:dyDescent="0.35">
      <c r="A6" s="75" t="s">
        <v>218</v>
      </c>
      <c r="B6" s="70">
        <v>270</v>
      </c>
      <c r="C6" s="70">
        <v>170</v>
      </c>
      <c r="D6" s="70">
        <v>270</v>
      </c>
      <c r="E6" s="70">
        <v>180</v>
      </c>
      <c r="F6" s="70">
        <v>230</v>
      </c>
      <c r="G6" s="70">
        <v>190</v>
      </c>
      <c r="H6" s="70">
        <v>280</v>
      </c>
      <c r="I6" s="70">
        <v>132</v>
      </c>
      <c r="J6" s="70">
        <v>143</v>
      </c>
      <c r="K6" s="70">
        <v>80</v>
      </c>
      <c r="L6" s="70">
        <v>70</v>
      </c>
      <c r="M6" s="97">
        <f>SUMPRODUCT(Table6[[#This Row],[Physical]:[Beasthood]],Utility!$H$9:$R$9)</f>
        <v>1005.7</v>
      </c>
      <c r="N6" s="70">
        <f>SUM(Table6[[#This Row],[Physical]:[Frenzy]])</f>
        <v>1945</v>
      </c>
      <c r="O6" s="70">
        <f>RANK(Table6[[#This Row],[TOTAL]],Table6[TOTAL])</f>
        <v>25</v>
      </c>
      <c r="P6" s="70">
        <f>RANK(O6,$O$2:$O$100,1)+COUNTIF($O$1:O5,O6)</f>
        <v>25</v>
      </c>
      <c r="Q6" s="70" cm="1">
        <f t="array" ref="Q6">INDEX($B6:$L6, 1, VLOOKUP(Config!$B$2, Config!$E$2:$F$12, 2, FALSE)-1)</f>
        <v>190</v>
      </c>
      <c r="R6" s="70" cm="1">
        <f t="array" ref="R6">INDEX($B6:$L6, 1, VLOOKUP(Config!$B$3, Config!$E$2:$F$12, 2, FALSE)-1)</f>
        <v>270</v>
      </c>
      <c r="S6" s="70">
        <f t="shared" si="0"/>
        <v>190271945</v>
      </c>
      <c r="T6" s="70">
        <f t="shared" si="1"/>
        <v>26</v>
      </c>
    </row>
    <row r="7" spans="1:20" x14ac:dyDescent="0.35">
      <c r="A7" s="75" t="s">
        <v>219</v>
      </c>
      <c r="B7" s="70">
        <v>300</v>
      </c>
      <c r="C7" s="70">
        <v>180</v>
      </c>
      <c r="D7" s="70">
        <v>260</v>
      </c>
      <c r="E7" s="70">
        <v>320</v>
      </c>
      <c r="F7" s="70">
        <v>140</v>
      </c>
      <c r="G7" s="70">
        <v>200</v>
      </c>
      <c r="H7" s="70">
        <v>110</v>
      </c>
      <c r="I7" s="70">
        <v>88</v>
      </c>
      <c r="J7" s="70">
        <v>97</v>
      </c>
      <c r="K7" s="70">
        <v>62</v>
      </c>
      <c r="L7" s="70">
        <v>53</v>
      </c>
      <c r="M7" s="97">
        <f>SUMPRODUCT(Table6[[#This Row],[Physical]:[Beasthood]],Utility!$H$9:$R$9)</f>
        <v>993.6</v>
      </c>
      <c r="N7" s="70">
        <f>SUM(Table6[[#This Row],[Physical]:[Frenzy]])</f>
        <v>1757</v>
      </c>
      <c r="O7" s="70">
        <f>RANK(Table6[[#This Row],[TOTAL]],Table6[TOTAL])</f>
        <v>27</v>
      </c>
      <c r="P7" s="70">
        <f>RANK(O7,$O$2:$O$100,1)+COUNTIF($O$1:O6,O7)</f>
        <v>27</v>
      </c>
      <c r="Q7" s="70" cm="1">
        <f t="array" ref="Q7">INDEX($B7:$L7, 1, VLOOKUP(Config!$B$2, Config!$E$2:$F$12, 2, FALSE)-1)</f>
        <v>200</v>
      </c>
      <c r="R7" s="70" cm="1">
        <f t="array" ref="R7">INDEX($B7:$L7, 1, VLOOKUP(Config!$B$3, Config!$E$2:$F$12, 2, FALSE)-1)</f>
        <v>300</v>
      </c>
      <c r="S7" s="70">
        <f t="shared" si="0"/>
        <v>200301757</v>
      </c>
      <c r="T7" s="70">
        <f t="shared" si="1"/>
        <v>24</v>
      </c>
    </row>
    <row r="8" spans="1:20" x14ac:dyDescent="0.35">
      <c r="A8" s="75" t="s">
        <v>220</v>
      </c>
      <c r="B8" s="70">
        <v>200</v>
      </c>
      <c r="C8" s="70">
        <v>210</v>
      </c>
      <c r="D8" s="70">
        <v>210</v>
      </c>
      <c r="E8" s="70">
        <v>220</v>
      </c>
      <c r="F8" s="70">
        <v>370</v>
      </c>
      <c r="G8" s="70">
        <v>280</v>
      </c>
      <c r="H8" s="70">
        <v>290</v>
      </c>
      <c r="I8" s="70">
        <v>111</v>
      </c>
      <c r="J8" s="70">
        <v>93</v>
      </c>
      <c r="K8" s="70">
        <v>37</v>
      </c>
      <c r="L8" s="70">
        <v>93</v>
      </c>
      <c r="M8" s="97">
        <f>SUMPRODUCT(Table6[[#This Row],[Physical]:[Beasthood]],Utility!$H$9:$R$9)</f>
        <v>1082.0999999999999</v>
      </c>
      <c r="N8" s="70">
        <f>SUM(Table6[[#This Row],[Physical]:[Frenzy]])</f>
        <v>2021</v>
      </c>
      <c r="O8" s="70">
        <f>RANK(Table6[[#This Row],[TOTAL]],Table6[TOTAL])</f>
        <v>7</v>
      </c>
      <c r="P8" s="70">
        <f>RANK(O8,$O$2:$O$100,1)+COUNTIF($O$1:O7,O8)</f>
        <v>7</v>
      </c>
      <c r="Q8" s="70" cm="1">
        <f t="array" ref="Q8">INDEX($B8:$L8, 1, VLOOKUP(Config!$B$2, Config!$E$2:$F$12, 2, FALSE)-1)</f>
        <v>280</v>
      </c>
      <c r="R8" s="70" cm="1">
        <f t="array" ref="R8">INDEX($B8:$L8, 1, VLOOKUP(Config!$B$3, Config!$E$2:$F$12, 2, FALSE)-1)</f>
        <v>200</v>
      </c>
      <c r="S8" s="70">
        <f t="shared" si="0"/>
        <v>280202021</v>
      </c>
      <c r="T8" s="70">
        <f t="shared" si="1"/>
        <v>10</v>
      </c>
    </row>
    <row r="9" spans="1:20" x14ac:dyDescent="0.35">
      <c r="A9" s="75" t="s">
        <v>221</v>
      </c>
      <c r="B9" s="70">
        <v>270</v>
      </c>
      <c r="C9" s="70">
        <v>240</v>
      </c>
      <c r="D9" s="70">
        <v>220</v>
      </c>
      <c r="E9" s="70">
        <v>230</v>
      </c>
      <c r="F9" s="70">
        <v>220</v>
      </c>
      <c r="G9" s="70">
        <v>250</v>
      </c>
      <c r="H9" s="70">
        <v>250</v>
      </c>
      <c r="I9" s="70">
        <v>107</v>
      </c>
      <c r="J9" s="70">
        <v>80</v>
      </c>
      <c r="K9" s="70">
        <v>62</v>
      </c>
      <c r="L9" s="70">
        <v>141</v>
      </c>
      <c r="M9" s="97">
        <f>SUMPRODUCT(Table6[[#This Row],[Physical]:[Beasthood]],Utility!$H$9:$R$9)</f>
        <v>1067.2</v>
      </c>
      <c r="N9" s="70">
        <f>SUM(Table6[[#This Row],[Physical]:[Frenzy]])</f>
        <v>1929</v>
      </c>
      <c r="O9" s="70">
        <f>RANK(Table6[[#This Row],[TOTAL]],Table6[TOTAL])</f>
        <v>11</v>
      </c>
      <c r="P9" s="70">
        <f>RANK(O9,$O$2:$O$100,1)+COUNTIF($O$1:O8,O9)</f>
        <v>11</v>
      </c>
      <c r="Q9" s="70" cm="1">
        <f t="array" ref="Q9">INDEX($B9:$L9, 1, VLOOKUP(Config!$B$2, Config!$E$2:$F$12, 2, FALSE)-1)</f>
        <v>250</v>
      </c>
      <c r="R9" s="70" cm="1">
        <f t="array" ref="R9">INDEX($B9:$L9, 1, VLOOKUP(Config!$B$3, Config!$E$2:$F$12, 2, FALSE)-1)</f>
        <v>270</v>
      </c>
      <c r="S9" s="70">
        <f t="shared" si="0"/>
        <v>250271929</v>
      </c>
      <c r="T9" s="70">
        <f t="shared" si="1"/>
        <v>19</v>
      </c>
    </row>
    <row r="10" spans="1:20" x14ac:dyDescent="0.35">
      <c r="A10" s="75" t="s">
        <v>222</v>
      </c>
      <c r="B10" s="70">
        <v>240</v>
      </c>
      <c r="C10" s="70">
        <v>280</v>
      </c>
      <c r="D10" s="70">
        <v>220</v>
      </c>
      <c r="E10" s="70">
        <v>320</v>
      </c>
      <c r="F10" s="70">
        <v>190</v>
      </c>
      <c r="G10" s="70">
        <v>220</v>
      </c>
      <c r="H10" s="70">
        <v>200</v>
      </c>
      <c r="I10" s="70">
        <v>69</v>
      </c>
      <c r="J10" s="70">
        <v>88</v>
      </c>
      <c r="K10" s="70">
        <v>138</v>
      </c>
      <c r="L10" s="70">
        <v>46</v>
      </c>
      <c r="M10" s="97">
        <f>SUMPRODUCT(Table6[[#This Row],[Physical]:[Beasthood]],Utility!$H$9:$R$9)</f>
        <v>1054.2</v>
      </c>
      <c r="N10" s="70">
        <f>SUM(Table6[[#This Row],[Physical]:[Frenzy]])</f>
        <v>1965</v>
      </c>
      <c r="O10" s="70">
        <f>RANK(Table6[[#This Row],[TOTAL]],Table6[TOTAL])</f>
        <v>16</v>
      </c>
      <c r="P10" s="70">
        <f>RANK(O10,$O$2:$O$100,1)+COUNTIF($O$1:O9,O10)</f>
        <v>16</v>
      </c>
      <c r="Q10" s="70" cm="1">
        <f t="array" ref="Q10">INDEX($B10:$L10, 1, VLOOKUP(Config!$B$2, Config!$E$2:$F$12, 2, FALSE)-1)</f>
        <v>220</v>
      </c>
      <c r="R10" s="70" cm="1">
        <f t="array" ref="R10">INDEX($B10:$L10, 1, VLOOKUP(Config!$B$3, Config!$E$2:$F$12, 2, FALSE)-1)</f>
        <v>240</v>
      </c>
      <c r="S10" s="70">
        <f t="shared" si="0"/>
        <v>220241965</v>
      </c>
      <c r="T10" s="70">
        <f t="shared" si="1"/>
        <v>23</v>
      </c>
    </row>
    <row r="11" spans="1:20" x14ac:dyDescent="0.35">
      <c r="A11" s="75" t="s">
        <v>223</v>
      </c>
      <c r="B11" s="70">
        <v>110</v>
      </c>
      <c r="C11" s="70">
        <v>110</v>
      </c>
      <c r="D11" s="70">
        <v>110</v>
      </c>
      <c r="E11" s="70">
        <v>150</v>
      </c>
      <c r="F11" s="70">
        <v>150</v>
      </c>
      <c r="G11" s="70">
        <v>190</v>
      </c>
      <c r="H11" s="70">
        <v>150</v>
      </c>
      <c r="I11" s="70">
        <v>102</v>
      </c>
      <c r="J11" s="70">
        <v>75</v>
      </c>
      <c r="K11" s="70">
        <v>93</v>
      </c>
      <c r="L11" s="70">
        <v>75</v>
      </c>
      <c r="M11" s="97">
        <f>SUMPRODUCT(Table6[[#This Row],[Physical]:[Beasthood]],Utility!$H$9:$R$9)</f>
        <v>585.1</v>
      </c>
      <c r="N11" s="70">
        <f>SUM(Table6[[#This Row],[Physical]:[Frenzy]])</f>
        <v>1240</v>
      </c>
      <c r="O11" s="70">
        <f>RANK(Table6[[#This Row],[TOTAL]],Table6[TOTAL])</f>
        <v>33</v>
      </c>
      <c r="P11" s="70">
        <f>RANK(O11,$O$2:$O$100,1)+COUNTIF($O$1:O10,O11)</f>
        <v>33</v>
      </c>
      <c r="Q11" s="70" cm="1">
        <f t="array" ref="Q11">INDEX($B11:$L11, 1, VLOOKUP(Config!$B$2, Config!$E$2:$F$12, 2, FALSE)-1)</f>
        <v>190</v>
      </c>
      <c r="R11" s="70" cm="1">
        <f t="array" ref="R11">INDEX($B11:$L11, 1, VLOOKUP(Config!$B$3, Config!$E$2:$F$12, 2, FALSE)-1)</f>
        <v>110</v>
      </c>
      <c r="S11" s="70">
        <f t="shared" si="0"/>
        <v>190111240</v>
      </c>
      <c r="T11" s="70">
        <f t="shared" si="1"/>
        <v>28</v>
      </c>
    </row>
    <row r="12" spans="1:20" x14ac:dyDescent="0.35">
      <c r="A12" s="75" t="s">
        <v>224</v>
      </c>
      <c r="B12" s="70">
        <v>230</v>
      </c>
      <c r="C12" s="70">
        <v>290</v>
      </c>
      <c r="D12" s="70">
        <v>260</v>
      </c>
      <c r="E12" s="70">
        <v>250</v>
      </c>
      <c r="F12" s="70">
        <v>270</v>
      </c>
      <c r="G12" s="70">
        <v>240</v>
      </c>
      <c r="H12" s="70">
        <v>270</v>
      </c>
      <c r="I12" s="70">
        <v>121</v>
      </c>
      <c r="J12" s="70">
        <v>110</v>
      </c>
      <c r="K12" s="70">
        <v>49</v>
      </c>
      <c r="L12" s="70">
        <v>111</v>
      </c>
      <c r="M12" s="97">
        <f>SUMPRODUCT(Table6[[#This Row],[Physical]:[Beasthood]],Utility!$H$9:$R$9)</f>
        <v>1133.5999999999999</v>
      </c>
      <c r="N12" s="70">
        <f>SUM(Table6[[#This Row],[Physical]:[Frenzy]])</f>
        <v>2090</v>
      </c>
      <c r="O12" s="70">
        <f>RANK(Table6[[#This Row],[TOTAL]],Table6[TOTAL])</f>
        <v>2</v>
      </c>
      <c r="P12" s="70">
        <f>RANK(O12,$O$2:$O$100,1)+COUNTIF($O$1:O11,O12)</f>
        <v>2</v>
      </c>
      <c r="Q12" s="70" cm="1">
        <f t="array" ref="Q12">INDEX($B12:$L12, 1, VLOOKUP(Config!$B$2, Config!$E$2:$F$12, 2, FALSE)-1)</f>
        <v>240</v>
      </c>
      <c r="R12" s="70" cm="1">
        <f t="array" ref="R12">INDEX($B12:$L12, 1, VLOOKUP(Config!$B$3, Config!$E$2:$F$12, 2, FALSE)-1)</f>
        <v>230</v>
      </c>
      <c r="S12" s="70">
        <f t="shared" si="0"/>
        <v>240232090</v>
      </c>
      <c r="T12" s="70">
        <f t="shared" si="1"/>
        <v>21</v>
      </c>
    </row>
    <row r="13" spans="1:20" x14ac:dyDescent="0.35">
      <c r="A13" s="75" t="s">
        <v>225</v>
      </c>
      <c r="B13" s="70">
        <v>150</v>
      </c>
      <c r="C13" s="70">
        <v>180</v>
      </c>
      <c r="D13" s="70">
        <v>130</v>
      </c>
      <c r="E13" s="70">
        <v>150</v>
      </c>
      <c r="F13" s="70">
        <v>150</v>
      </c>
      <c r="G13" s="70">
        <v>180</v>
      </c>
      <c r="H13" s="70">
        <v>180</v>
      </c>
      <c r="I13" s="70">
        <v>65</v>
      </c>
      <c r="J13" s="70">
        <v>46</v>
      </c>
      <c r="K13" s="70">
        <v>65</v>
      </c>
      <c r="L13" s="70">
        <v>37</v>
      </c>
      <c r="M13" s="97">
        <f>SUMPRODUCT(Table6[[#This Row],[Physical]:[Beasthood]],Utility!$H$9:$R$9)</f>
        <v>698.3</v>
      </c>
      <c r="N13" s="70">
        <f>SUM(Table6[[#This Row],[Physical]:[Frenzy]])</f>
        <v>1296</v>
      </c>
      <c r="O13" s="70">
        <f>RANK(Table6[[#This Row],[TOTAL]],Table6[TOTAL])</f>
        <v>32</v>
      </c>
      <c r="P13" s="70">
        <f>RANK(O13,$O$2:$O$100,1)+COUNTIF($O$1:O12,O13)</f>
        <v>32</v>
      </c>
      <c r="Q13" s="70" cm="1">
        <f t="array" ref="Q13">INDEX($B13:$L13, 1, VLOOKUP(Config!$B$2, Config!$E$2:$F$12, 2, FALSE)-1)</f>
        <v>180</v>
      </c>
      <c r="R13" s="70" cm="1">
        <f t="array" ref="R13">INDEX($B13:$L13, 1, VLOOKUP(Config!$B$3, Config!$E$2:$F$12, 2, FALSE)-1)</f>
        <v>150</v>
      </c>
      <c r="S13" s="70">
        <f t="shared" si="0"/>
        <v>180151296</v>
      </c>
      <c r="T13" s="70">
        <f t="shared" si="1"/>
        <v>30</v>
      </c>
    </row>
    <row r="14" spans="1:20" x14ac:dyDescent="0.35">
      <c r="A14" s="75" t="s">
        <v>226</v>
      </c>
      <c r="B14" s="70">
        <v>220</v>
      </c>
      <c r="C14" s="70">
        <v>270</v>
      </c>
      <c r="D14" s="70">
        <v>250</v>
      </c>
      <c r="E14" s="70">
        <v>220</v>
      </c>
      <c r="F14" s="70">
        <v>280</v>
      </c>
      <c r="G14" s="70">
        <v>280</v>
      </c>
      <c r="H14" s="70">
        <v>240</v>
      </c>
      <c r="I14" s="70">
        <v>128</v>
      </c>
      <c r="J14" s="70">
        <v>97</v>
      </c>
      <c r="K14" s="70">
        <v>56</v>
      </c>
      <c r="L14" s="70">
        <v>110</v>
      </c>
      <c r="M14" s="97">
        <f>SUMPRODUCT(Table6[[#This Row],[Physical]:[Beasthood]],Utility!$H$9:$R$9)</f>
        <v>1109.5</v>
      </c>
      <c r="N14" s="70">
        <f>SUM(Table6[[#This Row],[Physical]:[Frenzy]])</f>
        <v>2041</v>
      </c>
      <c r="O14" s="70">
        <f>RANK(Table6[[#This Row],[TOTAL]],Table6[TOTAL])</f>
        <v>4</v>
      </c>
      <c r="P14" s="70">
        <f>RANK(O14,$O$2:$O$100,1)+COUNTIF($O$1:O13,O14)</f>
        <v>4</v>
      </c>
      <c r="Q14" s="70" cm="1">
        <f t="array" ref="Q14">INDEX($B14:$L14, 1, VLOOKUP(Config!$B$2, Config!$E$2:$F$12, 2, FALSE)-1)</f>
        <v>280</v>
      </c>
      <c r="R14" s="70" cm="1">
        <f t="array" ref="R14">INDEX($B14:$L14, 1, VLOOKUP(Config!$B$3, Config!$E$2:$F$12, 2, FALSE)-1)</f>
        <v>220</v>
      </c>
      <c r="S14" s="70">
        <f t="shared" si="0"/>
        <v>280222041</v>
      </c>
      <c r="T14" s="70">
        <f t="shared" si="1"/>
        <v>9</v>
      </c>
    </row>
    <row r="15" spans="1:20" x14ac:dyDescent="0.35">
      <c r="A15" s="75" t="s">
        <v>227</v>
      </c>
      <c r="B15" s="70">
        <v>210</v>
      </c>
      <c r="C15" s="70">
        <v>220</v>
      </c>
      <c r="D15" s="70">
        <v>250</v>
      </c>
      <c r="E15" s="70">
        <v>220</v>
      </c>
      <c r="F15" s="70">
        <v>270</v>
      </c>
      <c r="G15" s="70">
        <v>230</v>
      </c>
      <c r="H15" s="70">
        <v>280</v>
      </c>
      <c r="I15" s="70">
        <v>122</v>
      </c>
      <c r="J15" s="70">
        <v>119</v>
      </c>
      <c r="K15" s="70">
        <v>135</v>
      </c>
      <c r="L15" s="70">
        <v>108</v>
      </c>
      <c r="M15" s="97">
        <f>SUMPRODUCT(Table6[[#This Row],[Physical]:[Beasthood]],Utility!$H$9:$R$9)</f>
        <v>1035.5</v>
      </c>
      <c r="N15" s="70">
        <f>SUM(Table6[[#This Row],[Physical]:[Frenzy]])</f>
        <v>2056</v>
      </c>
      <c r="O15" s="70">
        <f>RANK(Table6[[#This Row],[TOTAL]],Table6[TOTAL])</f>
        <v>19</v>
      </c>
      <c r="P15" s="70">
        <f>RANK(O15,$O$2:$O$100,1)+COUNTIF($O$1:O14,O15)</f>
        <v>19</v>
      </c>
      <c r="Q15" s="70" cm="1">
        <f t="array" ref="Q15">INDEX($B15:$L15, 1, VLOOKUP(Config!$B$2, Config!$E$2:$F$12, 2, FALSE)-1)</f>
        <v>230</v>
      </c>
      <c r="R15" s="70" cm="1">
        <f t="array" ref="R15">INDEX($B15:$L15, 1, VLOOKUP(Config!$B$3, Config!$E$2:$F$12, 2, FALSE)-1)</f>
        <v>210</v>
      </c>
      <c r="S15" s="70">
        <f t="shared" si="0"/>
        <v>230212056</v>
      </c>
      <c r="T15" s="70">
        <f t="shared" si="1"/>
        <v>22</v>
      </c>
    </row>
    <row r="16" spans="1:20" x14ac:dyDescent="0.35">
      <c r="A16" s="75" t="s">
        <v>228</v>
      </c>
      <c r="B16" s="70">
        <v>310</v>
      </c>
      <c r="C16" s="70">
        <v>210</v>
      </c>
      <c r="D16" s="70">
        <v>230</v>
      </c>
      <c r="E16" s="70">
        <v>250</v>
      </c>
      <c r="F16" s="70">
        <v>280</v>
      </c>
      <c r="G16" s="70">
        <v>250</v>
      </c>
      <c r="H16" s="70">
        <v>270</v>
      </c>
      <c r="I16" s="70">
        <v>149</v>
      </c>
      <c r="J16" s="70">
        <v>141</v>
      </c>
      <c r="K16" s="70">
        <v>20</v>
      </c>
      <c r="L16" s="70">
        <v>114</v>
      </c>
      <c r="M16" s="97">
        <f>SUMPRODUCT(Table6[[#This Row],[Physical]:[Beasthood]],Utility!$H$9:$R$9)</f>
        <v>1140.3</v>
      </c>
      <c r="N16" s="70">
        <f>SUM(Table6[[#This Row],[Physical]:[Frenzy]])</f>
        <v>2110</v>
      </c>
      <c r="O16" s="70">
        <f>RANK(Table6[[#This Row],[TOTAL]],Table6[TOTAL])</f>
        <v>1</v>
      </c>
      <c r="P16" s="70">
        <f>RANK(O16,$O$2:$O$100,1)+COUNTIF($O$1:O15,O16)</f>
        <v>1</v>
      </c>
      <c r="Q16" s="70" cm="1">
        <f t="array" ref="Q16">INDEX($B16:$L16, 1, VLOOKUP(Config!$B$2, Config!$E$2:$F$12, 2, FALSE)-1)</f>
        <v>250</v>
      </c>
      <c r="R16" s="70" cm="1">
        <f t="array" ref="R16">INDEX($B16:$L16, 1, VLOOKUP(Config!$B$3, Config!$E$2:$F$12, 2, FALSE)-1)</f>
        <v>310</v>
      </c>
      <c r="S16" s="70">
        <f t="shared" si="0"/>
        <v>250312110</v>
      </c>
      <c r="T16" s="70">
        <f t="shared" si="1"/>
        <v>18</v>
      </c>
    </row>
    <row r="17" spans="1:20" x14ac:dyDescent="0.35">
      <c r="A17" s="75" t="s">
        <v>229</v>
      </c>
      <c r="B17" s="70">
        <v>250</v>
      </c>
      <c r="C17" s="70">
        <v>250</v>
      </c>
      <c r="D17" s="70">
        <v>230</v>
      </c>
      <c r="E17" s="70">
        <v>210</v>
      </c>
      <c r="F17" s="70">
        <v>190</v>
      </c>
      <c r="G17" s="70">
        <v>250</v>
      </c>
      <c r="H17" s="70">
        <v>360</v>
      </c>
      <c r="I17" s="70">
        <v>51</v>
      </c>
      <c r="J17" s="70">
        <v>101</v>
      </c>
      <c r="K17" s="70">
        <v>108</v>
      </c>
      <c r="L17" s="70">
        <v>146</v>
      </c>
      <c r="M17" s="97">
        <f>SUMPRODUCT(Table6[[#This Row],[Physical]:[Beasthood]],Utility!$H$9:$R$9)</f>
        <v>1069.3</v>
      </c>
      <c r="N17" s="70">
        <f>SUM(Table6[[#This Row],[Physical]:[Frenzy]])</f>
        <v>2000</v>
      </c>
      <c r="O17" s="70">
        <f>RANK(Table6[[#This Row],[TOTAL]],Table6[TOTAL])</f>
        <v>9</v>
      </c>
      <c r="P17" s="70">
        <f>RANK(O17,$O$2:$O$100,1)+COUNTIF($O$1:O16,O17)</f>
        <v>9</v>
      </c>
      <c r="Q17" s="70" cm="1">
        <f t="array" ref="Q17">INDEX($B17:$L17, 1, VLOOKUP(Config!$B$2, Config!$E$2:$F$12, 2, FALSE)-1)</f>
        <v>250</v>
      </c>
      <c r="R17" s="70" cm="1">
        <f t="array" ref="R17">INDEX($B17:$L17, 1, VLOOKUP(Config!$B$3, Config!$E$2:$F$12, 2, FALSE)-1)</f>
        <v>250</v>
      </c>
      <c r="S17" s="70">
        <f t="shared" si="0"/>
        <v>250252000</v>
      </c>
      <c r="T17" s="70">
        <f t="shared" si="1"/>
        <v>20</v>
      </c>
    </row>
    <row r="18" spans="1:20" x14ac:dyDescent="0.35">
      <c r="A18" s="75" t="s">
        <v>230</v>
      </c>
      <c r="B18" s="70">
        <v>270</v>
      </c>
      <c r="C18" s="70">
        <v>270</v>
      </c>
      <c r="D18" s="70">
        <v>220</v>
      </c>
      <c r="E18" s="70">
        <v>270</v>
      </c>
      <c r="F18" s="70">
        <v>150</v>
      </c>
      <c r="G18" s="70">
        <v>280</v>
      </c>
      <c r="H18" s="70">
        <v>200</v>
      </c>
      <c r="I18" s="70">
        <v>41</v>
      </c>
      <c r="J18" s="70">
        <v>80</v>
      </c>
      <c r="K18" s="70">
        <v>119</v>
      </c>
      <c r="L18" s="70">
        <v>112</v>
      </c>
      <c r="M18" s="97">
        <f>SUMPRODUCT(Table6[[#This Row],[Physical]:[Beasthood]],Utility!$H$9:$R$9)</f>
        <v>1068.2</v>
      </c>
      <c r="N18" s="70">
        <f>SUM(Table6[[#This Row],[Physical]:[Frenzy]])</f>
        <v>1900</v>
      </c>
      <c r="O18" s="70">
        <f>RANK(Table6[[#This Row],[TOTAL]],Table6[TOTAL])</f>
        <v>10</v>
      </c>
      <c r="P18" s="70">
        <f>RANK(O18,$O$2:$O$100,1)+COUNTIF($O$1:O17,O18)</f>
        <v>10</v>
      </c>
      <c r="Q18" s="70" cm="1">
        <f t="array" ref="Q18">INDEX($B18:$L18, 1, VLOOKUP(Config!$B$2, Config!$E$2:$F$12, 2, FALSE)-1)</f>
        <v>280</v>
      </c>
      <c r="R18" s="70" cm="1">
        <f t="array" ref="R18">INDEX($B18:$L18, 1, VLOOKUP(Config!$B$3, Config!$E$2:$F$12, 2, FALSE)-1)</f>
        <v>270</v>
      </c>
      <c r="S18" s="70">
        <f t="shared" si="0"/>
        <v>280271900</v>
      </c>
      <c r="T18" s="70">
        <f t="shared" si="1"/>
        <v>5</v>
      </c>
    </row>
    <row r="19" spans="1:20" x14ac:dyDescent="0.35">
      <c r="A19" s="75" t="s">
        <v>231</v>
      </c>
      <c r="B19" s="70">
        <v>270</v>
      </c>
      <c r="C19" s="70">
        <v>260</v>
      </c>
      <c r="D19" s="70">
        <v>220</v>
      </c>
      <c r="E19" s="70">
        <v>270</v>
      </c>
      <c r="F19" s="70">
        <v>150</v>
      </c>
      <c r="G19" s="70">
        <v>280</v>
      </c>
      <c r="H19" s="70">
        <v>200</v>
      </c>
      <c r="I19" s="70">
        <v>41</v>
      </c>
      <c r="J19" s="70">
        <v>80</v>
      </c>
      <c r="K19" s="70">
        <v>127</v>
      </c>
      <c r="L19" s="70">
        <v>126</v>
      </c>
      <c r="M19" s="97">
        <f>SUMPRODUCT(Table6[[#This Row],[Physical]:[Beasthood]],Utility!$H$9:$R$9)</f>
        <v>1060.2</v>
      </c>
      <c r="N19" s="70">
        <f>SUM(Table6[[#This Row],[Physical]:[Frenzy]])</f>
        <v>1898</v>
      </c>
      <c r="O19" s="70">
        <f>RANK(Table6[[#This Row],[TOTAL]],Table6[TOTAL])</f>
        <v>12</v>
      </c>
      <c r="P19" s="70">
        <f>RANK(O19,$O$2:$O$100,1)+COUNTIF($O$1:O18,O19)</f>
        <v>12</v>
      </c>
      <c r="Q19" s="70" cm="1">
        <f t="array" ref="Q19">INDEX($B19:$L19, 1, VLOOKUP(Config!$B$2, Config!$E$2:$F$12, 2, FALSE)-1)</f>
        <v>280</v>
      </c>
      <c r="R19" s="70" cm="1">
        <f t="array" ref="R19">INDEX($B19:$L19, 1, VLOOKUP(Config!$B$3, Config!$E$2:$F$12, 2, FALSE)-1)</f>
        <v>270</v>
      </c>
      <c r="S19" s="70">
        <f t="shared" si="0"/>
        <v>280271898</v>
      </c>
      <c r="T19" s="70">
        <f t="shared" si="1"/>
        <v>6</v>
      </c>
    </row>
    <row r="20" spans="1:20" x14ac:dyDescent="0.35">
      <c r="A20" s="75" t="s">
        <v>232</v>
      </c>
      <c r="B20" s="70">
        <v>250</v>
      </c>
      <c r="C20" s="70">
        <v>290</v>
      </c>
      <c r="D20" s="70">
        <v>220</v>
      </c>
      <c r="E20" s="70">
        <v>240</v>
      </c>
      <c r="F20" s="70">
        <v>150</v>
      </c>
      <c r="G20" s="70">
        <v>260</v>
      </c>
      <c r="H20" s="70">
        <v>210</v>
      </c>
      <c r="I20" s="70">
        <v>50</v>
      </c>
      <c r="J20" s="70">
        <v>82</v>
      </c>
      <c r="K20" s="70">
        <v>115</v>
      </c>
      <c r="L20" s="70">
        <v>104</v>
      </c>
      <c r="M20" s="97">
        <f>SUMPRODUCT(Table6[[#This Row],[Physical]:[Beasthood]],Utility!$H$9:$R$9)</f>
        <v>1043.2</v>
      </c>
      <c r="N20" s="70">
        <f>SUM(Table6[[#This Row],[Physical]:[Frenzy]])</f>
        <v>1867</v>
      </c>
      <c r="O20" s="70">
        <f>RANK(Table6[[#This Row],[TOTAL]],Table6[TOTAL])</f>
        <v>17</v>
      </c>
      <c r="P20" s="70">
        <f>RANK(O20,$O$2:$O$100,1)+COUNTIF($O$1:O19,O20)</f>
        <v>17</v>
      </c>
      <c r="Q20" s="70" cm="1">
        <f t="array" ref="Q20">INDEX($B20:$L20, 1, VLOOKUP(Config!$B$2, Config!$E$2:$F$12, 2, FALSE)-1)</f>
        <v>260</v>
      </c>
      <c r="R20" s="70" cm="1">
        <f t="array" ref="R20">INDEX($B20:$L20, 1, VLOOKUP(Config!$B$3, Config!$E$2:$F$12, 2, FALSE)-1)</f>
        <v>250</v>
      </c>
      <c r="S20" s="70">
        <f t="shared" si="0"/>
        <v>260251867</v>
      </c>
      <c r="T20" s="70">
        <f t="shared" si="1"/>
        <v>14</v>
      </c>
    </row>
    <row r="21" spans="1:20" x14ac:dyDescent="0.35">
      <c r="A21" s="75" t="s">
        <v>233</v>
      </c>
      <c r="B21" s="70">
        <v>250</v>
      </c>
      <c r="C21" s="70">
        <v>280</v>
      </c>
      <c r="D21" s="70">
        <v>220</v>
      </c>
      <c r="E21" s="70">
        <v>240</v>
      </c>
      <c r="F21" s="70">
        <v>150</v>
      </c>
      <c r="G21" s="70">
        <v>260</v>
      </c>
      <c r="H21" s="70">
        <v>210</v>
      </c>
      <c r="I21" s="70">
        <v>50</v>
      </c>
      <c r="J21" s="70">
        <v>82</v>
      </c>
      <c r="K21" s="70">
        <v>123</v>
      </c>
      <c r="L21" s="70">
        <v>118</v>
      </c>
      <c r="M21" s="97">
        <f>SUMPRODUCT(Table6[[#This Row],[Physical]:[Beasthood]],Utility!$H$9:$R$9)</f>
        <v>1035.2</v>
      </c>
      <c r="N21" s="70">
        <f>SUM(Table6[[#This Row],[Physical]:[Frenzy]])</f>
        <v>1865</v>
      </c>
      <c r="O21" s="70">
        <f>RANK(Table6[[#This Row],[TOTAL]],Table6[TOTAL])</f>
        <v>21</v>
      </c>
      <c r="P21" s="70">
        <f>RANK(O21,$O$2:$O$100,1)+COUNTIF($O$1:O20,O21)</f>
        <v>21</v>
      </c>
      <c r="Q21" s="70" cm="1">
        <f t="array" ref="Q21">INDEX($B21:$L21, 1, VLOOKUP(Config!$B$2, Config!$E$2:$F$12, 2, FALSE)-1)</f>
        <v>260</v>
      </c>
      <c r="R21" s="70" cm="1">
        <f t="array" ref="R21">INDEX($B21:$L21, 1, VLOOKUP(Config!$B$3, Config!$E$2:$F$12, 2, FALSE)-1)</f>
        <v>250</v>
      </c>
      <c r="S21" s="70">
        <f t="shared" si="0"/>
        <v>260251865</v>
      </c>
      <c r="T21" s="70">
        <f t="shared" si="1"/>
        <v>15</v>
      </c>
    </row>
    <row r="22" spans="1:20" x14ac:dyDescent="0.35">
      <c r="A22" s="75" t="s">
        <v>234</v>
      </c>
      <c r="B22" s="70">
        <v>210</v>
      </c>
      <c r="C22" s="70">
        <v>210</v>
      </c>
      <c r="D22" s="70">
        <v>230</v>
      </c>
      <c r="E22" s="70">
        <v>340</v>
      </c>
      <c r="F22" s="70">
        <v>170</v>
      </c>
      <c r="G22" s="70">
        <v>180</v>
      </c>
      <c r="H22" s="70">
        <v>230</v>
      </c>
      <c r="I22" s="70">
        <v>62</v>
      </c>
      <c r="J22" s="70">
        <v>103</v>
      </c>
      <c r="K22" s="70">
        <v>97</v>
      </c>
      <c r="L22" s="70">
        <v>88</v>
      </c>
      <c r="M22" s="97">
        <f>SUMPRODUCT(Table6[[#This Row],[Physical]:[Beasthood]],Utility!$H$9:$R$9)</f>
        <v>956.3</v>
      </c>
      <c r="N22" s="70">
        <f>SUM(Table6[[#This Row],[Physical]:[Frenzy]])</f>
        <v>1832</v>
      </c>
      <c r="O22" s="70">
        <f>RANK(Table6[[#This Row],[TOTAL]],Table6[TOTAL])</f>
        <v>28</v>
      </c>
      <c r="P22" s="70">
        <f>RANK(O22,$O$2:$O$100,1)+COUNTIF($O$1:O21,O22)</f>
        <v>28</v>
      </c>
      <c r="Q22" s="70" cm="1">
        <f t="array" ref="Q22">INDEX($B22:$L22, 1, VLOOKUP(Config!$B$2, Config!$E$2:$F$12, 2, FALSE)-1)</f>
        <v>180</v>
      </c>
      <c r="R22" s="70" cm="1">
        <f t="array" ref="R22">INDEX($B22:$L22, 1, VLOOKUP(Config!$B$3, Config!$E$2:$F$12, 2, FALSE)-1)</f>
        <v>210</v>
      </c>
      <c r="S22" s="70">
        <f t="shared" si="0"/>
        <v>180211832</v>
      </c>
      <c r="T22" s="70">
        <f t="shared" si="1"/>
        <v>29</v>
      </c>
    </row>
    <row r="23" spans="1:20" x14ac:dyDescent="0.35">
      <c r="A23" s="75" t="s">
        <v>235</v>
      </c>
      <c r="B23" s="70">
        <v>210</v>
      </c>
      <c r="C23" s="70">
        <v>190</v>
      </c>
      <c r="D23" s="70">
        <v>230</v>
      </c>
      <c r="E23" s="70">
        <v>210</v>
      </c>
      <c r="F23" s="70">
        <v>310</v>
      </c>
      <c r="G23" s="70">
        <v>260</v>
      </c>
      <c r="H23" s="70">
        <v>280</v>
      </c>
      <c r="I23" s="70">
        <v>139</v>
      </c>
      <c r="J23" s="70">
        <v>125</v>
      </c>
      <c r="K23" s="70">
        <v>8</v>
      </c>
      <c r="L23" s="70">
        <v>70</v>
      </c>
      <c r="M23" s="97">
        <f>SUMPRODUCT(Table6[[#This Row],[Physical]:[Beasthood]],Utility!$H$9:$R$9)</f>
        <v>1035.3</v>
      </c>
      <c r="N23" s="70">
        <f>SUM(Table6[[#This Row],[Physical]:[Frenzy]])</f>
        <v>1962</v>
      </c>
      <c r="O23" s="70">
        <f>RANK(Table6[[#This Row],[TOTAL]],Table6[TOTAL])</f>
        <v>20</v>
      </c>
      <c r="P23" s="70">
        <f>RANK(O23,$O$2:$O$100,1)+COUNTIF($O$1:O22,O23)</f>
        <v>20</v>
      </c>
      <c r="Q23" s="70" cm="1">
        <f t="array" ref="Q23">INDEX($B23:$L23, 1, VLOOKUP(Config!$B$2, Config!$E$2:$F$12, 2, FALSE)-1)</f>
        <v>260</v>
      </c>
      <c r="R23" s="70" cm="1">
        <f t="array" ref="R23">INDEX($B23:$L23, 1, VLOOKUP(Config!$B$3, Config!$E$2:$F$12, 2, FALSE)-1)</f>
        <v>210</v>
      </c>
      <c r="S23" s="70">
        <f t="shared" si="0"/>
        <v>260211962</v>
      </c>
      <c r="T23" s="70">
        <f t="shared" si="1"/>
        <v>17</v>
      </c>
    </row>
    <row r="24" spans="1:20" x14ac:dyDescent="0.35">
      <c r="A24" s="75" t="s">
        <v>236</v>
      </c>
      <c r="B24" s="70">
        <v>220</v>
      </c>
      <c r="C24" s="70">
        <v>210</v>
      </c>
      <c r="D24" s="70">
        <v>230</v>
      </c>
      <c r="E24" s="70">
        <v>370</v>
      </c>
      <c r="F24" s="70">
        <v>200</v>
      </c>
      <c r="G24" s="70">
        <v>200</v>
      </c>
      <c r="H24" s="70">
        <v>230</v>
      </c>
      <c r="I24" s="70">
        <v>47</v>
      </c>
      <c r="J24" s="70">
        <v>125</v>
      </c>
      <c r="K24" s="70">
        <v>72</v>
      </c>
      <c r="L24" s="70">
        <v>37</v>
      </c>
      <c r="M24" s="97">
        <f>SUMPRODUCT(Table6[[#This Row],[Physical]:[Beasthood]],Utility!$H$9:$R$9)</f>
        <v>1008.3</v>
      </c>
      <c r="N24" s="70">
        <f>SUM(Table6[[#This Row],[Physical]:[Frenzy]])</f>
        <v>1904</v>
      </c>
      <c r="O24" s="70">
        <f>RANK(Table6[[#This Row],[TOTAL]],Table6[TOTAL])</f>
        <v>24</v>
      </c>
      <c r="P24" s="70">
        <f>RANK(O24,$O$2:$O$100,1)+COUNTIF($O$1:O23,O24)</f>
        <v>24</v>
      </c>
      <c r="Q24" s="70" cm="1">
        <f t="array" ref="Q24">INDEX($B24:$L24, 1, VLOOKUP(Config!$B$2, Config!$E$2:$F$12, 2, FALSE)-1)</f>
        <v>200</v>
      </c>
      <c r="R24" s="70" cm="1">
        <f t="array" ref="R24">INDEX($B24:$L24, 1, VLOOKUP(Config!$B$3, Config!$E$2:$F$12, 2, FALSE)-1)</f>
        <v>220</v>
      </c>
      <c r="S24" s="70">
        <f t="shared" si="0"/>
        <v>200221904</v>
      </c>
      <c r="T24" s="70">
        <f t="shared" si="1"/>
        <v>25</v>
      </c>
    </row>
    <row r="25" spans="1:20" x14ac:dyDescent="0.35">
      <c r="A25" s="75" t="s">
        <v>237</v>
      </c>
      <c r="B25" s="70">
        <v>270</v>
      </c>
      <c r="C25" s="70">
        <v>200</v>
      </c>
      <c r="D25" s="70">
        <v>230</v>
      </c>
      <c r="E25" s="70">
        <v>270</v>
      </c>
      <c r="F25" s="70">
        <v>200</v>
      </c>
      <c r="G25" s="70">
        <v>320</v>
      </c>
      <c r="H25" s="70">
        <v>150</v>
      </c>
      <c r="I25" s="70">
        <v>51</v>
      </c>
      <c r="J25" s="70">
        <v>45</v>
      </c>
      <c r="K25" s="70">
        <v>105</v>
      </c>
      <c r="L25" s="70">
        <v>129</v>
      </c>
      <c r="M25" s="97">
        <f>SUMPRODUCT(Table6[[#This Row],[Physical]:[Beasthood]],Utility!$H$9:$R$9)</f>
        <v>1058.3</v>
      </c>
      <c r="N25" s="70">
        <f>SUM(Table6[[#This Row],[Physical]:[Frenzy]])</f>
        <v>1841</v>
      </c>
      <c r="O25" s="70">
        <f>RANK(Table6[[#This Row],[TOTAL]],Table6[TOTAL])</f>
        <v>13</v>
      </c>
      <c r="P25" s="70">
        <f>RANK(O25,$O$2:$O$100,1)+COUNTIF($O$1:O24,O25)</f>
        <v>13</v>
      </c>
      <c r="Q25" s="70" cm="1">
        <f t="array" ref="Q25">INDEX($B25:$L25, 1, VLOOKUP(Config!$B$2, Config!$E$2:$F$12, 2, FALSE)-1)</f>
        <v>320</v>
      </c>
      <c r="R25" s="70" cm="1">
        <f t="array" ref="R25">INDEX($B25:$L25, 1, VLOOKUP(Config!$B$3, Config!$E$2:$F$12, 2, FALSE)-1)</f>
        <v>270</v>
      </c>
      <c r="S25" s="70">
        <f t="shared" si="0"/>
        <v>320271841</v>
      </c>
      <c r="T25" s="70">
        <f t="shared" si="1"/>
        <v>4</v>
      </c>
    </row>
    <row r="26" spans="1:20" x14ac:dyDescent="0.35">
      <c r="A26" s="75" t="s">
        <v>238</v>
      </c>
      <c r="B26" s="70">
        <v>250</v>
      </c>
      <c r="C26" s="70">
        <v>230</v>
      </c>
      <c r="D26" s="70">
        <v>230</v>
      </c>
      <c r="E26" s="70">
        <v>250</v>
      </c>
      <c r="F26" s="70">
        <v>200</v>
      </c>
      <c r="G26" s="70">
        <v>280</v>
      </c>
      <c r="H26" s="70">
        <v>170</v>
      </c>
      <c r="I26" s="70">
        <v>48</v>
      </c>
      <c r="J26" s="70">
        <v>45</v>
      </c>
      <c r="K26" s="70">
        <v>109</v>
      </c>
      <c r="L26" s="70">
        <v>123</v>
      </c>
      <c r="M26" s="97">
        <f>SUMPRODUCT(Table6[[#This Row],[Physical]:[Beasthood]],Utility!$H$9:$R$9)</f>
        <v>1036.3</v>
      </c>
      <c r="N26" s="70">
        <f>SUM(Table6[[#This Row],[Physical]:[Frenzy]])</f>
        <v>1812</v>
      </c>
      <c r="O26" s="70">
        <f>RANK(Table6[[#This Row],[TOTAL]],Table6[TOTAL])</f>
        <v>18</v>
      </c>
      <c r="P26" s="70">
        <f>RANK(O26,$O$2:$O$100,1)+COUNTIF($O$1:O25,O26)</f>
        <v>18</v>
      </c>
      <c r="Q26" s="70" cm="1">
        <f t="array" ref="Q26">INDEX($B26:$L26, 1, VLOOKUP(Config!$B$2, Config!$E$2:$F$12, 2, FALSE)-1)</f>
        <v>280</v>
      </c>
      <c r="R26" s="70" cm="1">
        <f t="array" ref="R26">INDEX($B26:$L26, 1, VLOOKUP(Config!$B$3, Config!$E$2:$F$12, 2, FALSE)-1)</f>
        <v>250</v>
      </c>
      <c r="S26" s="70">
        <f t="shared" si="0"/>
        <v>280251812</v>
      </c>
      <c r="T26" s="70">
        <f t="shared" si="1"/>
        <v>8</v>
      </c>
    </row>
    <row r="27" spans="1:20" x14ac:dyDescent="0.35">
      <c r="A27" s="75" t="s">
        <v>239</v>
      </c>
      <c r="B27" s="70">
        <v>280</v>
      </c>
      <c r="C27" s="70">
        <v>200</v>
      </c>
      <c r="D27" s="70">
        <v>220</v>
      </c>
      <c r="E27" s="70">
        <v>290</v>
      </c>
      <c r="F27" s="70">
        <v>180</v>
      </c>
      <c r="G27" s="70">
        <v>320</v>
      </c>
      <c r="H27" s="70">
        <v>150</v>
      </c>
      <c r="I27" s="70">
        <v>76</v>
      </c>
      <c r="J27" s="70">
        <v>51</v>
      </c>
      <c r="K27" s="70">
        <v>94</v>
      </c>
      <c r="L27" s="70">
        <v>125</v>
      </c>
      <c r="M27" s="97">
        <f>SUMPRODUCT(Table6[[#This Row],[Physical]:[Beasthood]],Utility!$H$9:$R$9)</f>
        <v>1057.2</v>
      </c>
      <c r="N27" s="70">
        <f>SUM(Table6[[#This Row],[Physical]:[Frenzy]])</f>
        <v>1861</v>
      </c>
      <c r="O27" s="70">
        <f>RANK(Table6[[#This Row],[TOTAL]],Table6[TOTAL])</f>
        <v>14</v>
      </c>
      <c r="P27" s="70">
        <f>RANK(O27,$O$2:$O$100,1)+COUNTIF($O$1:O26,O27)</f>
        <v>14</v>
      </c>
      <c r="Q27" s="70" cm="1">
        <f t="array" ref="Q27">INDEX($B27:$L27, 1, VLOOKUP(Config!$B$2, Config!$E$2:$F$12, 2, FALSE)-1)</f>
        <v>320</v>
      </c>
      <c r="R27" s="70" cm="1">
        <f t="array" ref="R27">INDEX($B27:$L27, 1, VLOOKUP(Config!$B$3, Config!$E$2:$F$12, 2, FALSE)-1)</f>
        <v>280</v>
      </c>
      <c r="S27" s="70">
        <f t="shared" si="0"/>
        <v>320281861</v>
      </c>
      <c r="T27" s="70">
        <f t="shared" si="1"/>
        <v>3</v>
      </c>
    </row>
    <row r="28" spans="1:20" x14ac:dyDescent="0.35">
      <c r="A28" s="75" t="s">
        <v>240</v>
      </c>
      <c r="B28" s="70">
        <v>260</v>
      </c>
      <c r="C28" s="70">
        <v>230</v>
      </c>
      <c r="D28" s="70">
        <v>220</v>
      </c>
      <c r="E28" s="70">
        <v>270</v>
      </c>
      <c r="F28" s="70">
        <v>180</v>
      </c>
      <c r="G28" s="70">
        <v>280</v>
      </c>
      <c r="H28" s="70">
        <v>170</v>
      </c>
      <c r="I28" s="70">
        <v>73</v>
      </c>
      <c r="J28" s="70">
        <v>51</v>
      </c>
      <c r="K28" s="70">
        <v>98</v>
      </c>
      <c r="L28" s="70">
        <v>119</v>
      </c>
      <c r="M28" s="97">
        <f>SUMPRODUCT(Table6[[#This Row],[Physical]:[Beasthood]],Utility!$H$9:$R$9)</f>
        <v>1035.2</v>
      </c>
      <c r="N28" s="70">
        <f>SUM(Table6[[#This Row],[Physical]:[Frenzy]])</f>
        <v>1832</v>
      </c>
      <c r="O28" s="70">
        <f>RANK(Table6[[#This Row],[TOTAL]],Table6[TOTAL])</f>
        <v>21</v>
      </c>
      <c r="P28" s="70">
        <f>RANK(O28,$O$2:$O$100,1)+COUNTIF($O$1:O27,O28)</f>
        <v>22</v>
      </c>
      <c r="Q28" s="70" cm="1">
        <f t="array" ref="Q28">INDEX($B28:$L28, 1, VLOOKUP(Config!$B$2, Config!$E$2:$F$12, 2, FALSE)-1)</f>
        <v>280</v>
      </c>
      <c r="R28" s="70" cm="1">
        <f t="array" ref="R28">INDEX($B28:$L28, 1, VLOOKUP(Config!$B$3, Config!$E$2:$F$12, 2, FALSE)-1)</f>
        <v>260</v>
      </c>
      <c r="S28" s="70">
        <f t="shared" si="0"/>
        <v>280261832</v>
      </c>
      <c r="T28" s="70">
        <f t="shared" si="1"/>
        <v>7</v>
      </c>
    </row>
    <row r="29" spans="1:20" x14ac:dyDescent="0.35">
      <c r="A29" s="75" t="s">
        <v>241</v>
      </c>
      <c r="B29" s="70">
        <v>220</v>
      </c>
      <c r="C29" s="70">
        <v>230</v>
      </c>
      <c r="D29" s="70">
        <v>270</v>
      </c>
      <c r="E29" s="70">
        <v>250</v>
      </c>
      <c r="F29" s="70">
        <v>310</v>
      </c>
      <c r="G29" s="70">
        <v>270</v>
      </c>
      <c r="H29" s="70">
        <v>270</v>
      </c>
      <c r="I29" s="70">
        <v>133</v>
      </c>
      <c r="J29" s="70">
        <v>129</v>
      </c>
      <c r="K29" s="70">
        <v>31</v>
      </c>
      <c r="L29" s="70">
        <v>110</v>
      </c>
      <c r="M29" s="97">
        <f>SUMPRODUCT(Table6[[#This Row],[Physical]:[Beasthood]],Utility!$H$9:$R$9)</f>
        <v>1124.7</v>
      </c>
      <c r="N29" s="70">
        <f>SUM(Table6[[#This Row],[Physical]:[Frenzy]])</f>
        <v>2113</v>
      </c>
      <c r="O29" s="70">
        <f>RANK(Table6[[#This Row],[TOTAL]],Table6[TOTAL])</f>
        <v>3</v>
      </c>
      <c r="P29" s="70">
        <f>RANK(O29,$O$2:$O$100,1)+COUNTIF($O$1:O28,O29)</f>
        <v>3</v>
      </c>
      <c r="Q29" s="70" cm="1">
        <f t="array" ref="Q29">INDEX($B29:$L29, 1, VLOOKUP(Config!$B$2, Config!$E$2:$F$12, 2, FALSE)-1)</f>
        <v>270</v>
      </c>
      <c r="R29" s="70" cm="1">
        <f t="array" ref="R29">INDEX($B29:$L29, 1, VLOOKUP(Config!$B$3, Config!$E$2:$F$12, 2, FALSE)-1)</f>
        <v>220</v>
      </c>
      <c r="S29" s="70">
        <f t="shared" si="0"/>
        <v>270222113</v>
      </c>
      <c r="T29" s="70">
        <f t="shared" si="1"/>
        <v>12</v>
      </c>
    </row>
    <row r="30" spans="1:20" x14ac:dyDescent="0.35">
      <c r="A30" s="75" t="s">
        <v>242</v>
      </c>
      <c r="B30" s="70">
        <v>200</v>
      </c>
      <c r="C30" s="70">
        <v>200</v>
      </c>
      <c r="D30" s="70">
        <v>250</v>
      </c>
      <c r="E30" s="70">
        <v>330</v>
      </c>
      <c r="F30" s="70">
        <v>290</v>
      </c>
      <c r="G30" s="70">
        <v>270</v>
      </c>
      <c r="H30" s="70">
        <v>280</v>
      </c>
      <c r="I30" s="70">
        <v>152</v>
      </c>
      <c r="J30" s="70">
        <v>135</v>
      </c>
      <c r="K30" s="70">
        <v>25</v>
      </c>
      <c r="L30" s="70">
        <v>91</v>
      </c>
      <c r="M30" s="97">
        <f>SUMPRODUCT(Table6[[#This Row],[Physical]:[Beasthood]],Utility!$H$9:$R$9)</f>
        <v>1089.5</v>
      </c>
      <c r="N30" s="70">
        <f>SUM(Table6[[#This Row],[Physical]:[Frenzy]])</f>
        <v>2132</v>
      </c>
      <c r="O30" s="70">
        <f>RANK(Table6[[#This Row],[TOTAL]],Table6[TOTAL])</f>
        <v>6</v>
      </c>
      <c r="P30" s="70">
        <f>RANK(O30,$O$2:$O$100,1)+COUNTIF($O$1:O29,O30)</f>
        <v>6</v>
      </c>
      <c r="Q30" s="70" cm="1">
        <f t="array" ref="Q30">INDEX($B30:$L30, 1, VLOOKUP(Config!$B$2, Config!$E$2:$F$12, 2, FALSE)-1)</f>
        <v>270</v>
      </c>
      <c r="R30" s="70" cm="1">
        <f t="array" ref="R30">INDEX($B30:$L30, 1, VLOOKUP(Config!$B$3, Config!$E$2:$F$12, 2, FALSE)-1)</f>
        <v>200</v>
      </c>
      <c r="S30" s="70">
        <f t="shared" si="0"/>
        <v>270202132</v>
      </c>
      <c r="T30" s="70">
        <f t="shared" si="1"/>
        <v>13</v>
      </c>
    </row>
    <row r="31" spans="1:20" x14ac:dyDescent="0.35">
      <c r="A31" s="75" t="s">
        <v>243</v>
      </c>
      <c r="B31" s="70">
        <v>280</v>
      </c>
      <c r="C31" s="70">
        <v>250</v>
      </c>
      <c r="D31" s="70">
        <v>220</v>
      </c>
      <c r="E31" s="70">
        <v>210</v>
      </c>
      <c r="F31" s="70">
        <v>160</v>
      </c>
      <c r="G31" s="70">
        <v>150</v>
      </c>
      <c r="H31" s="70">
        <v>160</v>
      </c>
      <c r="I31" s="70">
        <v>108</v>
      </c>
      <c r="J31" s="70">
        <v>90</v>
      </c>
      <c r="K31" s="70">
        <v>99</v>
      </c>
      <c r="L31" s="70">
        <v>86</v>
      </c>
      <c r="M31" s="97">
        <f>SUMPRODUCT(Table6[[#This Row],[Physical]:[Beasthood]],Utility!$H$9:$R$9)</f>
        <v>954.2</v>
      </c>
      <c r="N31" s="70">
        <f>SUM(Table6[[#This Row],[Physical]:[Frenzy]])</f>
        <v>1727</v>
      </c>
      <c r="O31" s="70">
        <f>RANK(Table6[[#This Row],[TOTAL]],Table6[TOTAL])</f>
        <v>29</v>
      </c>
      <c r="P31" s="70">
        <f>RANK(O31,$O$2:$O$100,1)+COUNTIF($O$1:O30,O31)</f>
        <v>29</v>
      </c>
      <c r="Q31" s="70" cm="1">
        <f t="array" ref="Q31">INDEX($B31:$L31, 1, VLOOKUP(Config!$B$2, Config!$E$2:$F$12, 2, FALSE)-1)</f>
        <v>150</v>
      </c>
      <c r="R31" s="70" cm="1">
        <f t="array" ref="R31">INDEX($B31:$L31, 1, VLOOKUP(Config!$B$3, Config!$E$2:$F$12, 2, FALSE)-1)</f>
        <v>280</v>
      </c>
      <c r="S31" s="70">
        <f t="shared" si="0"/>
        <v>150281727</v>
      </c>
      <c r="T31" s="70">
        <f t="shared" si="1"/>
        <v>31</v>
      </c>
    </row>
    <row r="32" spans="1:20" x14ac:dyDescent="0.35">
      <c r="A32" s="75" t="s">
        <v>244</v>
      </c>
      <c r="B32" s="70">
        <v>280</v>
      </c>
      <c r="C32" s="70">
        <v>250</v>
      </c>
      <c r="D32" s="70">
        <v>220</v>
      </c>
      <c r="E32" s="70">
        <v>210</v>
      </c>
      <c r="F32" s="70">
        <v>160</v>
      </c>
      <c r="G32" s="70">
        <v>150</v>
      </c>
      <c r="H32" s="70">
        <v>150</v>
      </c>
      <c r="I32" s="70">
        <v>100</v>
      </c>
      <c r="J32" s="70">
        <v>85</v>
      </c>
      <c r="K32" s="70">
        <v>96</v>
      </c>
      <c r="L32" s="70">
        <v>90</v>
      </c>
      <c r="M32" s="97">
        <f>SUMPRODUCT(Table6[[#This Row],[Physical]:[Beasthood]],Utility!$H$9:$R$9)</f>
        <v>951.2</v>
      </c>
      <c r="N32" s="70">
        <f>SUM(Table6[[#This Row],[Physical]:[Frenzy]])</f>
        <v>1701</v>
      </c>
      <c r="O32" s="70">
        <f>RANK(Table6[[#This Row],[TOTAL]],Table6[TOTAL])</f>
        <v>30</v>
      </c>
      <c r="P32" s="70">
        <f>RANK(O32,$O$2:$O$100,1)+COUNTIF($O$1:O31,O32)</f>
        <v>30</v>
      </c>
      <c r="Q32" s="70" cm="1">
        <f t="array" ref="Q32">INDEX($B32:$L32, 1, VLOOKUP(Config!$B$2, Config!$E$2:$F$12, 2, FALSE)-1)</f>
        <v>150</v>
      </c>
      <c r="R32" s="70" cm="1">
        <f t="array" ref="R32">INDEX($B32:$L32, 1, VLOOKUP(Config!$B$3, Config!$E$2:$F$12, 2, FALSE)-1)</f>
        <v>280</v>
      </c>
      <c r="S32" s="70">
        <f t="shared" si="0"/>
        <v>150281701</v>
      </c>
      <c r="T32" s="70">
        <f t="shared" si="1"/>
        <v>32</v>
      </c>
    </row>
    <row r="33" spans="1:20" x14ac:dyDescent="0.35">
      <c r="A33" s="75" t="s">
        <v>245</v>
      </c>
      <c r="B33" s="70">
        <v>210</v>
      </c>
      <c r="C33" s="70">
        <v>170</v>
      </c>
      <c r="D33" s="70">
        <v>200</v>
      </c>
      <c r="E33" s="70">
        <v>240</v>
      </c>
      <c r="F33" s="70">
        <v>230</v>
      </c>
      <c r="G33" s="70">
        <v>370</v>
      </c>
      <c r="H33" s="70">
        <v>190</v>
      </c>
      <c r="I33" s="70">
        <v>82</v>
      </c>
      <c r="J33" s="70">
        <v>81</v>
      </c>
      <c r="K33" s="70">
        <v>75</v>
      </c>
      <c r="L33" s="70">
        <v>57</v>
      </c>
      <c r="M33" s="97">
        <f>SUMPRODUCT(Table6[[#This Row],[Physical]:[Beasthood]],Utility!$H$9:$R$9)</f>
        <v>1001</v>
      </c>
      <c r="N33" s="70">
        <f>SUM(Table6[[#This Row],[Physical]:[Frenzy]])</f>
        <v>1848</v>
      </c>
      <c r="O33" s="70">
        <f>RANK(Table6[[#This Row],[TOTAL]],Table6[TOTAL])</f>
        <v>26</v>
      </c>
      <c r="P33" s="70">
        <f>RANK(O33,$O$2:$O$100,1)+COUNTIF($O$1:O32,O33)</f>
        <v>26</v>
      </c>
      <c r="Q33" s="70" cm="1">
        <f t="array" ref="Q33">INDEX($B33:$L33, 1, VLOOKUP(Config!$B$2, Config!$E$2:$F$12, 2, FALSE)-1)</f>
        <v>370</v>
      </c>
      <c r="R33" s="70" cm="1">
        <f t="array" ref="R33">INDEX($B33:$L33, 1, VLOOKUP(Config!$B$3, Config!$E$2:$F$12, 2, FALSE)-1)</f>
        <v>210</v>
      </c>
      <c r="S33" s="70">
        <f t="shared" si="0"/>
        <v>370211848</v>
      </c>
      <c r="T33" s="70">
        <f t="shared" si="1"/>
        <v>1</v>
      </c>
    </row>
    <row r="34" spans="1:20" x14ac:dyDescent="0.35">
      <c r="A34" s="76" t="s">
        <v>246</v>
      </c>
      <c r="B34" s="72">
        <v>250</v>
      </c>
      <c r="C34" s="72">
        <v>230</v>
      </c>
      <c r="D34" s="72">
        <v>250</v>
      </c>
      <c r="E34" s="72">
        <v>220</v>
      </c>
      <c r="F34" s="72">
        <v>230</v>
      </c>
      <c r="G34" s="72">
        <v>270</v>
      </c>
      <c r="H34" s="72">
        <v>250</v>
      </c>
      <c r="I34" s="72">
        <v>116</v>
      </c>
      <c r="J34" s="72">
        <v>98</v>
      </c>
      <c r="K34" s="72">
        <v>101</v>
      </c>
      <c r="L34" s="72">
        <v>116</v>
      </c>
      <c r="M34" s="97">
        <f>SUMPRODUCT(Table6[[#This Row],[Physical]:[Beasthood]],Utility!$H$9:$R$9)</f>
        <v>1074.5</v>
      </c>
      <c r="N34" s="72">
        <f>SUM(Table6[[#This Row],[Physical]:[Frenzy]])</f>
        <v>2015</v>
      </c>
      <c r="O34" s="72">
        <f>RANK(Table6[[#This Row],[TOTAL]],Table6[TOTAL])</f>
        <v>8</v>
      </c>
      <c r="P34" s="72">
        <f>RANK(O34,$O$2:$O$100,1)+COUNTIF($O$1:O33,O34)</f>
        <v>8</v>
      </c>
      <c r="Q34" s="72" cm="1">
        <f t="array" ref="Q34">INDEX($B34:$L34, 1, VLOOKUP(Config!$B$2, Config!$E$2:$F$12, 2, FALSE)-1)</f>
        <v>270</v>
      </c>
      <c r="R34" s="72" cm="1">
        <f t="array" ref="R34">INDEX($B34:$L34, 1, VLOOKUP(Config!$B$3, Config!$E$2:$F$12, 2, FALSE)-1)</f>
        <v>250</v>
      </c>
      <c r="S34" s="72">
        <f t="shared" si="0"/>
        <v>270252015</v>
      </c>
      <c r="T34" s="72">
        <f t="shared" si="1"/>
        <v>11</v>
      </c>
    </row>
    <row r="35" spans="1:20" x14ac:dyDescent="0.35">
      <c r="B35" s="2"/>
      <c r="C35" s="2"/>
      <c r="D35" s="2"/>
      <c r="E35" s="2"/>
      <c r="F35" s="2"/>
      <c r="G35" s="2"/>
      <c r="H35" s="2"/>
      <c r="I35" s="2"/>
      <c r="J35" s="2"/>
      <c r="K35" s="2"/>
      <c r="L35" s="2"/>
      <c r="M35" s="90" t="s">
        <v>248</v>
      </c>
      <c r="N35" s="2"/>
      <c r="O35" s="2"/>
      <c r="P35" s="2"/>
      <c r="Q35" s="2"/>
      <c r="R35" s="2"/>
      <c r="S35" s="2"/>
      <c r="T35" s="2"/>
    </row>
    <row r="36" spans="1:20" x14ac:dyDescent="0.35">
      <c r="M36" s="106" t="s">
        <v>247</v>
      </c>
    </row>
    <row r="37" spans="1:20" x14ac:dyDescent="0.35">
      <c r="M37" s="106"/>
    </row>
    <row r="38" spans="1:20" x14ac:dyDescent="0.35">
      <c r="M38" s="106"/>
    </row>
  </sheetData>
  <mergeCells count="1">
    <mergeCell ref="M36:M38"/>
  </mergeCells>
  <conditionalFormatting sqref="A1:L1">
    <cfRule type="notContainsBlanks" dxfId="26" priority="6">
      <formula>LEN(TRIM(A1))&gt;0</formula>
    </cfRule>
  </conditionalFormatting>
  <conditionalFormatting sqref="M2">
    <cfRule type="colorScale" priority="5">
      <colorScale>
        <cfvo type="min"/>
        <cfvo type="percentile" val="50"/>
        <cfvo type="max"/>
        <color rgb="FFF8696B"/>
        <color rgb="FFFFEB84"/>
        <color rgb="FF63BE7B"/>
      </colorScale>
    </cfRule>
  </conditionalFormatting>
  <conditionalFormatting sqref="B2:L34">
    <cfRule type="colorScale" priority="4">
      <colorScale>
        <cfvo type="min"/>
        <cfvo type="percentile" val="50"/>
        <cfvo type="max"/>
        <color rgb="FFF8696B"/>
        <color rgb="FFFFEB84"/>
        <color rgb="FF63BE7B"/>
      </colorScale>
    </cfRule>
  </conditionalFormatting>
  <conditionalFormatting sqref="M2:M34">
    <cfRule type="colorScale" priority="3">
      <colorScale>
        <cfvo type="min"/>
        <cfvo type="percentile" val="50"/>
        <cfvo type="max"/>
        <color rgb="FFF8696B"/>
        <color rgb="FFFFEB84"/>
        <color rgb="FF63BE7B"/>
      </colorScale>
    </cfRule>
  </conditionalFormatting>
  <conditionalFormatting sqref="N2:N34">
    <cfRule type="colorScale" priority="2">
      <colorScale>
        <cfvo type="min"/>
        <cfvo type="percentile" val="50"/>
        <cfvo type="max"/>
        <color rgb="FFF8696B"/>
        <color rgb="FFFFEB84"/>
        <color rgb="FF63BE7B"/>
      </colorScale>
    </cfRule>
  </conditionalFormatting>
  <conditionalFormatting sqref="O2:O34">
    <cfRule type="colorScale" priority="1">
      <colorScale>
        <cfvo type="min"/>
        <cfvo type="percentile" val="50"/>
        <cfvo type="max"/>
        <color rgb="FF5A8AC6"/>
        <color rgb="FFFCFCFF"/>
        <color rgb="FFF8696B"/>
      </colorScale>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0B06-CFE3-4453-BC29-E259A9DA327F}">
  <sheetPr codeName="Sheet8"/>
  <dimension ref="A2:Y20"/>
  <sheetViews>
    <sheetView workbookViewId="0">
      <selection activeCell="H9" sqref="H9:R9"/>
    </sheetView>
  </sheetViews>
  <sheetFormatPr defaultRowHeight="14.5" x14ac:dyDescent="0.35"/>
  <cols>
    <col min="3" max="3" width="13.453125" customWidth="1"/>
  </cols>
  <sheetData>
    <row r="2" spans="1:25" x14ac:dyDescent="0.35">
      <c r="B2" s="110" t="s">
        <v>198</v>
      </c>
      <c r="C2" s="110"/>
      <c r="D2" s="110"/>
      <c r="E2" s="110"/>
      <c r="F2" s="110"/>
      <c r="H2" s="113" t="s">
        <v>201</v>
      </c>
      <c r="I2" s="113"/>
      <c r="J2" s="113"/>
      <c r="K2" s="113"/>
      <c r="L2" s="113"/>
    </row>
    <row r="3" spans="1:25" x14ac:dyDescent="0.35">
      <c r="B3" s="110"/>
      <c r="C3" s="110"/>
      <c r="D3" s="110"/>
      <c r="E3" s="110"/>
      <c r="F3" s="110"/>
      <c r="H3" s="113"/>
      <c r="I3" s="113"/>
      <c r="J3" s="113"/>
      <c r="K3" s="113"/>
      <c r="L3" s="113"/>
    </row>
    <row r="4" spans="1:25" ht="45.5" customHeight="1" x14ac:dyDescent="0.35">
      <c r="B4" s="110"/>
      <c r="C4" s="110"/>
      <c r="D4" s="110"/>
      <c r="E4" s="110"/>
      <c r="F4" s="110"/>
      <c r="H4" s="113"/>
      <c r="I4" s="113"/>
      <c r="J4" s="113"/>
      <c r="K4" s="113"/>
      <c r="L4" s="113"/>
    </row>
    <row r="5" spans="1:25" ht="104.5" customHeight="1" x14ac:dyDescent="0.35">
      <c r="B5" s="110"/>
      <c r="C5" s="110"/>
      <c r="D5" s="110"/>
      <c r="E5" s="110"/>
      <c r="F5" s="110"/>
    </row>
    <row r="6" spans="1:25" ht="26" x14ac:dyDescent="0.6">
      <c r="G6" s="112" t="s">
        <v>200</v>
      </c>
      <c r="H6" s="112"/>
      <c r="I6" s="112"/>
      <c r="J6" s="112"/>
      <c r="K6" s="112"/>
      <c r="L6" s="112"/>
      <c r="M6" s="112"/>
      <c r="N6" s="112"/>
      <c r="O6" s="112"/>
      <c r="P6" s="112"/>
      <c r="Q6" s="112"/>
      <c r="R6" s="112"/>
      <c r="S6" s="112"/>
    </row>
    <row r="7" spans="1:25" x14ac:dyDescent="0.35">
      <c r="A7" s="111" t="s">
        <v>199</v>
      </c>
      <c r="B7" s="111"/>
      <c r="C7" s="3" t="s">
        <v>11</v>
      </c>
      <c r="D7" s="3" t="s">
        <v>12</v>
      </c>
      <c r="G7" s="80"/>
      <c r="H7" s="80"/>
      <c r="I7" s="80"/>
      <c r="J7" s="80"/>
      <c r="K7" s="80"/>
      <c r="L7" s="80"/>
      <c r="M7" s="80"/>
      <c r="N7" s="80"/>
      <c r="O7" s="80"/>
      <c r="P7" s="80"/>
      <c r="Q7" s="80"/>
      <c r="R7" s="80"/>
      <c r="S7" s="80"/>
    </row>
    <row r="8" spans="1:25" x14ac:dyDescent="0.35">
      <c r="A8" s="111"/>
      <c r="B8" s="111"/>
      <c r="C8" s="4" t="s">
        <v>0</v>
      </c>
      <c r="D8" s="5">
        <v>1</v>
      </c>
      <c r="G8" s="80"/>
      <c r="H8" s="4" t="s">
        <v>0</v>
      </c>
      <c r="I8" s="4" t="s">
        <v>1</v>
      </c>
      <c r="J8" s="4" t="s">
        <v>2</v>
      </c>
      <c r="K8" s="4" t="s">
        <v>3</v>
      </c>
      <c r="L8" s="4" t="s">
        <v>4</v>
      </c>
      <c r="M8" s="4" t="s">
        <v>5</v>
      </c>
      <c r="N8" s="4" t="s">
        <v>6</v>
      </c>
      <c r="O8" s="4" t="s">
        <v>7</v>
      </c>
      <c r="P8" s="4" t="s">
        <v>8</v>
      </c>
      <c r="Q8" s="4" t="s">
        <v>9</v>
      </c>
      <c r="R8" s="4" t="s">
        <v>10</v>
      </c>
      <c r="S8" s="80"/>
    </row>
    <row r="9" spans="1:25" x14ac:dyDescent="0.35">
      <c r="C9" s="4" t="s">
        <v>1</v>
      </c>
      <c r="D9" s="6">
        <v>0.8</v>
      </c>
      <c r="G9" s="80"/>
      <c r="H9" s="5">
        <v>1</v>
      </c>
      <c r="I9" s="6">
        <v>0.8</v>
      </c>
      <c r="J9" s="6">
        <v>0.71</v>
      </c>
      <c r="K9" s="6">
        <v>0.4</v>
      </c>
      <c r="L9" s="6">
        <v>0.6</v>
      </c>
      <c r="M9" s="6">
        <v>0.6</v>
      </c>
      <c r="N9" s="6">
        <v>0.3</v>
      </c>
      <c r="O9" s="6">
        <v>0</v>
      </c>
      <c r="P9" s="6">
        <v>0</v>
      </c>
      <c r="Q9" s="6">
        <v>0</v>
      </c>
      <c r="R9" s="6">
        <v>0</v>
      </c>
      <c r="S9" s="80"/>
    </row>
    <row r="10" spans="1:25" x14ac:dyDescent="0.35">
      <c r="C10" s="4" t="s">
        <v>2</v>
      </c>
      <c r="D10" s="6">
        <v>0.71</v>
      </c>
      <c r="G10" s="80"/>
      <c r="H10" s="80"/>
      <c r="I10" s="80"/>
      <c r="J10" s="80"/>
      <c r="K10" s="80"/>
      <c r="L10" s="80"/>
      <c r="M10" s="80"/>
      <c r="N10" s="80"/>
      <c r="O10" s="80"/>
      <c r="P10" s="80"/>
      <c r="Q10" s="80"/>
      <c r="R10" s="80"/>
      <c r="S10" s="80"/>
    </row>
    <row r="11" spans="1:25" x14ac:dyDescent="0.35">
      <c r="C11" s="4" t="s">
        <v>3</v>
      </c>
      <c r="D11" s="6">
        <v>0.4</v>
      </c>
    </row>
    <row r="12" spans="1:25" x14ac:dyDescent="0.35">
      <c r="C12" s="4" t="s">
        <v>4</v>
      </c>
      <c r="D12" s="6">
        <v>0.6</v>
      </c>
      <c r="G12" s="107" t="s">
        <v>197</v>
      </c>
      <c r="H12" s="107"/>
      <c r="I12" s="107"/>
      <c r="J12" s="107"/>
      <c r="K12" s="107"/>
      <c r="L12" s="107"/>
      <c r="N12" s="108" t="s">
        <v>205</v>
      </c>
      <c r="O12" s="108"/>
      <c r="P12" s="108"/>
      <c r="Q12" s="108"/>
      <c r="R12" s="108"/>
      <c r="S12" s="108"/>
      <c r="T12" s="108"/>
      <c r="U12" s="108"/>
      <c r="V12" s="108"/>
      <c r="W12" s="108"/>
      <c r="X12" s="108"/>
      <c r="Y12" s="108"/>
    </row>
    <row r="13" spans="1:25" x14ac:dyDescent="0.35">
      <c r="C13" s="4" t="s">
        <v>5</v>
      </c>
      <c r="D13" s="6">
        <v>0.6</v>
      </c>
    </row>
    <row r="14" spans="1:25" x14ac:dyDescent="0.35">
      <c r="C14" s="4" t="s">
        <v>6</v>
      </c>
      <c r="D14" s="6">
        <v>0.3</v>
      </c>
      <c r="G14" s="107" t="s">
        <v>203</v>
      </c>
      <c r="H14" s="107"/>
      <c r="I14" s="107"/>
      <c r="J14" s="107"/>
      <c r="K14" s="107"/>
      <c r="L14" s="107"/>
      <c r="M14" s="107"/>
      <c r="N14" s="107"/>
      <c r="O14" s="107"/>
    </row>
    <row r="15" spans="1:25" x14ac:dyDescent="0.35">
      <c r="C15" s="4" t="s">
        <v>7</v>
      </c>
      <c r="D15" s="6">
        <v>0</v>
      </c>
    </row>
    <row r="16" spans="1:25" x14ac:dyDescent="0.35">
      <c r="C16" s="4" t="s">
        <v>8</v>
      </c>
      <c r="D16" s="6">
        <v>0</v>
      </c>
      <c r="G16" s="107" t="s">
        <v>202</v>
      </c>
      <c r="H16" s="107"/>
      <c r="I16" s="107"/>
      <c r="J16" s="107"/>
      <c r="K16" s="107"/>
      <c r="L16" s="107"/>
      <c r="M16" s="107"/>
    </row>
    <row r="17" spans="3:19" x14ac:dyDescent="0.35">
      <c r="C17" s="4" t="s">
        <v>9</v>
      </c>
      <c r="D17" s="6">
        <v>0</v>
      </c>
    </row>
    <row r="18" spans="3:19" x14ac:dyDescent="0.35">
      <c r="C18" s="4" t="s">
        <v>10</v>
      </c>
      <c r="D18" s="6">
        <v>0</v>
      </c>
      <c r="G18" s="107" t="s">
        <v>204</v>
      </c>
      <c r="H18" s="107"/>
      <c r="I18" s="107"/>
      <c r="J18" s="107"/>
      <c r="K18" s="107"/>
      <c r="L18" s="107"/>
      <c r="M18" s="107"/>
      <c r="N18" s="107"/>
      <c r="O18" s="107"/>
      <c r="P18" s="107"/>
      <c r="Q18" s="107"/>
      <c r="R18" s="107"/>
      <c r="S18" s="107"/>
    </row>
    <row r="20" spans="3:19" x14ac:dyDescent="0.35">
      <c r="G20" s="109" t="s">
        <v>206</v>
      </c>
      <c r="H20" s="109"/>
      <c r="I20" s="109"/>
    </row>
  </sheetData>
  <mergeCells count="10">
    <mergeCell ref="G16:M16"/>
    <mergeCell ref="G18:S18"/>
    <mergeCell ref="N12:Y12"/>
    <mergeCell ref="G20:I20"/>
    <mergeCell ref="B2:F5"/>
    <mergeCell ref="A7:B8"/>
    <mergeCell ref="G6:S6"/>
    <mergeCell ref="G12:L12"/>
    <mergeCell ref="G14:O14"/>
    <mergeCell ref="H2:L4"/>
  </mergeCells>
  <conditionalFormatting sqref="C8:C18">
    <cfRule type="notContainsBlanks" dxfId="1" priority="3">
      <formula>LEN(TRIM(C8))&gt;0</formula>
    </cfRule>
  </conditionalFormatting>
  <conditionalFormatting sqref="H8:R8">
    <cfRule type="notContainsBlanks" dxfId="0" priority="1">
      <formula>LEN(TRIM(H8))&gt;0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F9701-EFCE-41CF-B4E8-8DBE2453A9AC}">
  <sheetPr codeName="Sheet7"/>
  <dimension ref="A1:F26"/>
  <sheetViews>
    <sheetView tabSelected="1" workbookViewId="0">
      <selection activeCell="J30" sqref="J30"/>
    </sheetView>
  </sheetViews>
  <sheetFormatPr defaultRowHeight="14.5" x14ac:dyDescent="0.35"/>
  <cols>
    <col min="1" max="1" width="44" bestFit="1" customWidth="1"/>
    <col min="2" max="2" width="18.7265625" bestFit="1" customWidth="1"/>
    <col min="3" max="3" width="7.81640625" bestFit="1" customWidth="1"/>
    <col min="4" max="4" width="7.90625" bestFit="1" customWidth="1"/>
    <col min="5" max="5" width="8.90625" bestFit="1" customWidth="1"/>
    <col min="6" max="6" width="6.81640625" bestFit="1" customWidth="1"/>
  </cols>
  <sheetData>
    <row r="1" spans="1:6" ht="18.5" x14ac:dyDescent="0.45">
      <c r="A1" s="60" t="s">
        <v>186</v>
      </c>
    </row>
    <row r="3" spans="1:6" x14ac:dyDescent="0.35">
      <c r="A3" t="s">
        <v>187</v>
      </c>
      <c r="B3" t="s">
        <v>5</v>
      </c>
    </row>
    <row r="4" spans="1:6" x14ac:dyDescent="0.35">
      <c r="A4" t="s">
        <v>188</v>
      </c>
      <c r="B4" t="s">
        <v>0</v>
      </c>
    </row>
    <row r="5" spans="1:6" x14ac:dyDescent="0.35">
      <c r="A5" t="s">
        <v>189</v>
      </c>
      <c r="B5" s="61">
        <v>0.15</v>
      </c>
    </row>
    <row r="7" spans="1:6" x14ac:dyDescent="0.35">
      <c r="A7" s="62" t="s">
        <v>250</v>
      </c>
      <c r="B7" s="63"/>
      <c r="C7" s="63"/>
      <c r="D7" s="63"/>
      <c r="E7" s="63"/>
      <c r="F7" s="63"/>
    </row>
    <row r="8" spans="1:6" x14ac:dyDescent="0.35">
      <c r="A8" s="26" t="s">
        <v>184</v>
      </c>
      <c r="B8" s="26" t="s">
        <v>185</v>
      </c>
      <c r="C8" s="26" t="s">
        <v>5</v>
      </c>
      <c r="D8" s="26" t="s">
        <v>0</v>
      </c>
      <c r="E8" s="26" t="s">
        <v>145</v>
      </c>
      <c r="F8" s="26" t="s">
        <v>47</v>
      </c>
    </row>
    <row r="9" spans="1:6" x14ac:dyDescent="0.35">
      <c r="A9" t="s">
        <v>146</v>
      </c>
      <c r="B9" t="s">
        <v>18</v>
      </c>
      <c r="C9">
        <v>60</v>
      </c>
      <c r="D9">
        <v>60</v>
      </c>
      <c r="E9">
        <v>324</v>
      </c>
      <c r="F9">
        <v>186.4</v>
      </c>
    </row>
    <row r="10" spans="1:6" x14ac:dyDescent="0.35">
      <c r="A10" t="s">
        <v>147</v>
      </c>
      <c r="B10" t="s">
        <v>51</v>
      </c>
      <c r="C10">
        <v>140</v>
      </c>
      <c r="D10">
        <v>110</v>
      </c>
      <c r="E10">
        <v>753</v>
      </c>
      <c r="F10">
        <v>411</v>
      </c>
    </row>
    <row r="11" spans="1:6" x14ac:dyDescent="0.35">
      <c r="A11" t="s">
        <v>139</v>
      </c>
      <c r="B11" t="s">
        <v>101</v>
      </c>
      <c r="C11">
        <v>90</v>
      </c>
      <c r="D11">
        <v>40</v>
      </c>
      <c r="E11">
        <v>418</v>
      </c>
      <c r="F11">
        <v>225.4</v>
      </c>
    </row>
    <row r="12" spans="1:6" x14ac:dyDescent="0.35">
      <c r="A12" t="s">
        <v>140</v>
      </c>
      <c r="B12" t="s">
        <v>136</v>
      </c>
      <c r="C12">
        <v>90</v>
      </c>
      <c r="D12">
        <v>40</v>
      </c>
      <c r="E12">
        <v>439</v>
      </c>
      <c r="F12">
        <v>232.5</v>
      </c>
    </row>
    <row r="13" spans="1:6" x14ac:dyDescent="0.35">
      <c r="A13" s="26" t="s">
        <v>47</v>
      </c>
      <c r="C13" s="26">
        <v>380</v>
      </c>
      <c r="D13" s="26">
        <v>250</v>
      </c>
      <c r="E13" s="26">
        <v>1934</v>
      </c>
      <c r="F13" s="26">
        <v>1055.3</v>
      </c>
    </row>
    <row r="15" spans="1:6" x14ac:dyDescent="0.35">
      <c r="A15" s="64" t="s">
        <v>251</v>
      </c>
      <c r="B15" s="65"/>
      <c r="C15" s="65"/>
      <c r="D15" s="65"/>
      <c r="E15" s="65"/>
      <c r="F15" s="65"/>
    </row>
    <row r="16" spans="1:6" x14ac:dyDescent="0.35">
      <c r="A16" s="26" t="s">
        <v>184</v>
      </c>
      <c r="B16" s="26" t="s">
        <v>185</v>
      </c>
      <c r="C16" s="26" t="s">
        <v>5</v>
      </c>
      <c r="D16" s="26" t="s">
        <v>0</v>
      </c>
      <c r="E16" s="26" t="s">
        <v>145</v>
      </c>
      <c r="F16" s="26" t="s">
        <v>47</v>
      </c>
    </row>
    <row r="17" spans="1:6" x14ac:dyDescent="0.35">
      <c r="A17" t="s">
        <v>146</v>
      </c>
      <c r="B17" t="s">
        <v>30</v>
      </c>
      <c r="C17">
        <v>50</v>
      </c>
      <c r="D17">
        <v>60</v>
      </c>
      <c r="E17">
        <v>391</v>
      </c>
      <c r="F17">
        <v>224.5</v>
      </c>
    </row>
    <row r="18" spans="1:6" x14ac:dyDescent="0.35">
      <c r="A18" t="s">
        <v>147</v>
      </c>
      <c r="B18" t="s">
        <v>62</v>
      </c>
      <c r="C18">
        <v>110</v>
      </c>
      <c r="D18">
        <v>90</v>
      </c>
      <c r="E18">
        <v>815</v>
      </c>
      <c r="F18">
        <v>443</v>
      </c>
    </row>
    <row r="19" spans="1:6" x14ac:dyDescent="0.35">
      <c r="A19" t="s">
        <v>139</v>
      </c>
      <c r="B19" t="s">
        <v>101</v>
      </c>
      <c r="C19">
        <v>90</v>
      </c>
      <c r="D19">
        <v>40</v>
      </c>
      <c r="E19">
        <v>418</v>
      </c>
      <c r="F19">
        <v>225.4</v>
      </c>
    </row>
    <row r="20" spans="1:6" x14ac:dyDescent="0.35">
      <c r="A20" t="s">
        <v>140</v>
      </c>
      <c r="B20" t="s">
        <v>115</v>
      </c>
      <c r="C20">
        <v>80</v>
      </c>
      <c r="D20">
        <v>60</v>
      </c>
      <c r="E20">
        <v>455</v>
      </c>
      <c r="F20">
        <v>251.5</v>
      </c>
    </row>
    <row r="21" spans="1:6" x14ac:dyDescent="0.35">
      <c r="A21" s="26" t="s">
        <v>47</v>
      </c>
      <c r="C21" s="26">
        <v>330</v>
      </c>
      <c r="D21" s="26">
        <v>250</v>
      </c>
      <c r="E21" s="26">
        <v>2079</v>
      </c>
      <c r="F21" s="26">
        <v>1144.4000000000001</v>
      </c>
    </row>
    <row r="23" spans="1:6" x14ac:dyDescent="0.35">
      <c r="A23" s="66" t="s">
        <v>190</v>
      </c>
      <c r="B23" s="67"/>
      <c r="C23" s="67"/>
      <c r="D23" s="67"/>
      <c r="E23" s="67"/>
      <c r="F23" s="67"/>
    </row>
    <row r="24" spans="1:6" x14ac:dyDescent="0.35">
      <c r="A24" t="s">
        <v>252</v>
      </c>
      <c r="B24">
        <v>-50</v>
      </c>
      <c r="C24" t="s">
        <v>253</v>
      </c>
    </row>
    <row r="25" spans="1:6" x14ac:dyDescent="0.35">
      <c r="A25" t="s">
        <v>191</v>
      </c>
      <c r="B25">
        <v>89.100000000000136</v>
      </c>
      <c r="C25" t="s">
        <v>254</v>
      </c>
    </row>
    <row r="26" spans="1:6" x14ac:dyDescent="0.35">
      <c r="A26" t="s">
        <v>249</v>
      </c>
      <c r="B26" t="s">
        <v>255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D3D3F-225B-4A75-8CE6-9DBC7F933E26}">
  <sheetPr codeName="Sheet9"/>
  <dimension ref="A1:K39"/>
  <sheetViews>
    <sheetView workbookViewId="0">
      <selection activeCell="B4" sqref="B4"/>
    </sheetView>
  </sheetViews>
  <sheetFormatPr defaultRowHeight="14.5" x14ac:dyDescent="0.35"/>
  <cols>
    <col min="1" max="1" width="15.26953125" customWidth="1"/>
    <col min="3" max="3" width="42.6328125" customWidth="1"/>
    <col min="5" max="5" width="11.90625" customWidth="1"/>
    <col min="6" max="6" width="11.54296875" customWidth="1"/>
  </cols>
  <sheetData>
    <row r="1" spans="1:7" x14ac:dyDescent="0.35">
      <c r="A1" s="11" t="s">
        <v>163</v>
      </c>
      <c r="B1" s="12" t="s">
        <v>164</v>
      </c>
      <c r="C1" s="12" t="s">
        <v>165</v>
      </c>
      <c r="D1" s="80"/>
      <c r="E1" s="1" t="s">
        <v>176</v>
      </c>
      <c r="F1" s="1" t="s">
        <v>177</v>
      </c>
      <c r="G1" s="114"/>
    </row>
    <row r="2" spans="1:7" x14ac:dyDescent="0.35">
      <c r="A2" s="59" t="s">
        <v>166</v>
      </c>
      <c r="B2" s="92" t="s">
        <v>5</v>
      </c>
      <c r="C2" s="1" t="s">
        <v>171</v>
      </c>
      <c r="D2" s="80"/>
      <c r="E2" t="s">
        <v>0</v>
      </c>
      <c r="F2">
        <v>2</v>
      </c>
      <c r="G2" s="115"/>
    </row>
    <row r="3" spans="1:7" x14ac:dyDescent="0.35">
      <c r="A3" s="59" t="s">
        <v>167</v>
      </c>
      <c r="B3" s="92" t="s">
        <v>0</v>
      </c>
      <c r="C3" s="1" t="s">
        <v>168</v>
      </c>
      <c r="D3" s="80"/>
      <c r="E3" t="s">
        <v>1</v>
      </c>
      <c r="F3">
        <v>3</v>
      </c>
      <c r="G3" s="115"/>
    </row>
    <row r="4" spans="1:7" x14ac:dyDescent="0.35">
      <c r="A4" s="59" t="s">
        <v>169</v>
      </c>
      <c r="B4" s="13">
        <v>15</v>
      </c>
      <c r="C4" s="1" t="s">
        <v>170</v>
      </c>
      <c r="D4" s="80"/>
      <c r="E4" t="s">
        <v>2</v>
      </c>
      <c r="F4">
        <v>4</v>
      </c>
      <c r="G4" s="115"/>
    </row>
    <row r="5" spans="1:7" x14ac:dyDescent="0.35">
      <c r="A5" s="59" t="s">
        <v>172</v>
      </c>
      <c r="B5" s="1" t="s">
        <v>146</v>
      </c>
      <c r="D5" s="80"/>
      <c r="E5" t="s">
        <v>3</v>
      </c>
      <c r="F5">
        <v>5</v>
      </c>
      <c r="G5" s="115"/>
    </row>
    <row r="6" spans="1:7" x14ac:dyDescent="0.35">
      <c r="A6" s="59" t="s">
        <v>173</v>
      </c>
      <c r="B6" s="1" t="s">
        <v>147</v>
      </c>
      <c r="D6" s="80"/>
      <c r="E6" t="s">
        <v>4</v>
      </c>
      <c r="F6">
        <v>6</v>
      </c>
      <c r="G6" s="115"/>
    </row>
    <row r="7" spans="1:7" x14ac:dyDescent="0.35">
      <c r="A7" s="59" t="s">
        <v>174</v>
      </c>
      <c r="B7" s="1" t="s">
        <v>139</v>
      </c>
      <c r="D7" s="80"/>
      <c r="E7" t="s">
        <v>5</v>
      </c>
      <c r="F7">
        <v>7</v>
      </c>
      <c r="G7" s="115"/>
    </row>
    <row r="8" spans="1:7" x14ac:dyDescent="0.35">
      <c r="A8" s="59" t="s">
        <v>175</v>
      </c>
      <c r="B8" s="1" t="s">
        <v>140</v>
      </c>
      <c r="D8" s="80"/>
      <c r="E8" t="s">
        <v>6</v>
      </c>
      <c r="F8">
        <v>8</v>
      </c>
      <c r="G8" s="115"/>
    </row>
    <row r="9" spans="1:7" x14ac:dyDescent="0.35">
      <c r="A9" s="80"/>
      <c r="B9" s="80"/>
      <c r="C9" s="80"/>
      <c r="D9" s="80"/>
      <c r="E9" t="s">
        <v>7</v>
      </c>
      <c r="F9">
        <v>9</v>
      </c>
      <c r="G9" s="115"/>
    </row>
    <row r="10" spans="1:7" x14ac:dyDescent="0.35">
      <c r="E10" t="s">
        <v>8</v>
      </c>
      <c r="F10">
        <v>10</v>
      </c>
      <c r="G10" s="115"/>
    </row>
    <row r="11" spans="1:7" x14ac:dyDescent="0.35">
      <c r="E11" t="s">
        <v>9</v>
      </c>
      <c r="F11">
        <v>11</v>
      </c>
      <c r="G11" s="115"/>
    </row>
    <row r="12" spans="1:7" x14ac:dyDescent="0.35">
      <c r="E12" t="s">
        <v>10</v>
      </c>
      <c r="F12">
        <v>12</v>
      </c>
      <c r="G12" s="115"/>
    </row>
    <row r="13" spans="1:7" x14ac:dyDescent="0.35">
      <c r="A13" t="s">
        <v>178</v>
      </c>
      <c r="G13" s="115"/>
    </row>
    <row r="14" spans="1:7" x14ac:dyDescent="0.35">
      <c r="A14" t="s">
        <v>179</v>
      </c>
      <c r="G14" s="115"/>
    </row>
    <row r="15" spans="1:7" x14ac:dyDescent="0.35">
      <c r="A15" s="117"/>
      <c r="B15" s="118"/>
      <c r="C15" s="118"/>
      <c r="D15" s="118"/>
      <c r="E15" s="118"/>
      <c r="F15" s="119"/>
      <c r="G15" s="116"/>
    </row>
    <row r="18" spans="3:11" x14ac:dyDescent="0.35">
      <c r="C18" s="91" t="s">
        <v>192</v>
      </c>
      <c r="E18" s="126" t="s">
        <v>207</v>
      </c>
      <c r="F18" s="127"/>
      <c r="G18" s="127"/>
      <c r="H18" s="127"/>
      <c r="I18" s="127"/>
      <c r="J18" s="127"/>
      <c r="K18" s="128"/>
    </row>
    <row r="19" spans="3:11" x14ac:dyDescent="0.35">
      <c r="E19" s="129"/>
      <c r="F19" s="130"/>
      <c r="G19" s="130"/>
      <c r="H19" s="130"/>
      <c r="I19" s="130"/>
      <c r="J19" s="130"/>
      <c r="K19" s="131"/>
    </row>
    <row r="20" spans="3:11" x14ac:dyDescent="0.35">
      <c r="C20" s="123" t="s">
        <v>196</v>
      </c>
      <c r="E20" s="129"/>
      <c r="F20" s="130"/>
      <c r="G20" s="130"/>
      <c r="H20" s="130"/>
      <c r="I20" s="130"/>
      <c r="J20" s="130"/>
      <c r="K20" s="131"/>
    </row>
    <row r="21" spans="3:11" x14ac:dyDescent="0.35">
      <c r="C21" s="124"/>
      <c r="E21" s="129"/>
      <c r="F21" s="130"/>
      <c r="G21" s="130"/>
      <c r="H21" s="130"/>
      <c r="I21" s="130"/>
      <c r="J21" s="130"/>
      <c r="K21" s="131"/>
    </row>
    <row r="22" spans="3:11" x14ac:dyDescent="0.35">
      <c r="C22" s="124"/>
      <c r="E22" s="129"/>
      <c r="F22" s="130"/>
      <c r="G22" s="130"/>
      <c r="H22" s="130"/>
      <c r="I22" s="130"/>
      <c r="J22" s="130"/>
      <c r="K22" s="131"/>
    </row>
    <row r="23" spans="3:11" x14ac:dyDescent="0.35">
      <c r="C23" s="125"/>
      <c r="E23" s="132"/>
      <c r="F23" s="133"/>
      <c r="G23" s="133"/>
      <c r="H23" s="133"/>
      <c r="I23" s="133"/>
      <c r="J23" s="133"/>
      <c r="K23" s="134"/>
    </row>
    <row r="25" spans="3:11" x14ac:dyDescent="0.35">
      <c r="C25" s="120" t="s">
        <v>212</v>
      </c>
      <c r="E25" s="110" t="s">
        <v>209</v>
      </c>
      <c r="F25" s="110"/>
      <c r="G25" s="110"/>
      <c r="H25" s="110"/>
      <c r="I25" s="110"/>
      <c r="J25" s="110"/>
      <c r="K25" s="110"/>
    </row>
    <row r="26" spans="3:11" x14ac:dyDescent="0.35">
      <c r="C26" s="121"/>
      <c r="E26" s="110"/>
      <c r="F26" s="110"/>
      <c r="G26" s="110"/>
      <c r="H26" s="110"/>
      <c r="I26" s="110"/>
      <c r="J26" s="110"/>
      <c r="K26" s="110"/>
    </row>
    <row r="27" spans="3:11" x14ac:dyDescent="0.35">
      <c r="C27" s="121"/>
      <c r="E27" s="110"/>
      <c r="F27" s="110"/>
      <c r="G27" s="110"/>
      <c r="H27" s="110"/>
      <c r="I27" s="110"/>
      <c r="J27" s="110"/>
      <c r="K27" s="110"/>
    </row>
    <row r="28" spans="3:11" x14ac:dyDescent="0.35">
      <c r="C28" s="121"/>
    </row>
    <row r="29" spans="3:11" x14ac:dyDescent="0.35">
      <c r="C29" s="122"/>
      <c r="E29" s="135" t="s">
        <v>208</v>
      </c>
      <c r="F29" s="110"/>
      <c r="G29" s="110"/>
      <c r="H29" s="110"/>
      <c r="I29" s="110"/>
      <c r="J29" s="110"/>
      <c r="K29" s="110"/>
    </row>
    <row r="30" spans="3:11" x14ac:dyDescent="0.35">
      <c r="E30" s="110"/>
      <c r="F30" s="110"/>
      <c r="G30" s="110"/>
      <c r="H30" s="110"/>
      <c r="I30" s="110"/>
      <c r="J30" s="110"/>
      <c r="K30" s="110"/>
    </row>
    <row r="31" spans="3:11" x14ac:dyDescent="0.35">
      <c r="E31" s="110"/>
      <c r="F31" s="110"/>
      <c r="G31" s="110"/>
      <c r="H31" s="110"/>
      <c r="I31" s="110"/>
      <c r="J31" s="110"/>
      <c r="K31" s="110"/>
    </row>
    <row r="33" spans="5:11" x14ac:dyDescent="0.35">
      <c r="E33" s="110" t="s">
        <v>211</v>
      </c>
      <c r="F33" s="110"/>
      <c r="G33" s="110"/>
      <c r="H33" s="110"/>
      <c r="I33" s="110"/>
      <c r="J33" s="110"/>
      <c r="K33" s="110"/>
    </row>
    <row r="34" spans="5:11" x14ac:dyDescent="0.35">
      <c r="E34" s="110"/>
      <c r="F34" s="110"/>
      <c r="G34" s="110"/>
      <c r="H34" s="110"/>
      <c r="I34" s="110"/>
      <c r="J34" s="110"/>
      <c r="K34" s="110"/>
    </row>
    <row r="35" spans="5:11" x14ac:dyDescent="0.35">
      <c r="E35" s="110"/>
      <c r="F35" s="110"/>
      <c r="G35" s="110"/>
      <c r="H35" s="110"/>
      <c r="I35" s="110"/>
      <c r="J35" s="110"/>
      <c r="K35" s="110"/>
    </row>
    <row r="37" spans="5:11" x14ac:dyDescent="0.35">
      <c r="E37" s="110" t="s">
        <v>210</v>
      </c>
      <c r="F37" s="110"/>
      <c r="G37" s="110"/>
      <c r="H37" s="110"/>
      <c r="I37" s="110"/>
      <c r="J37" s="110"/>
      <c r="K37" s="110"/>
    </row>
    <row r="38" spans="5:11" x14ac:dyDescent="0.35">
      <c r="E38" s="110"/>
      <c r="F38" s="110"/>
      <c r="G38" s="110"/>
      <c r="H38" s="110"/>
      <c r="I38" s="110"/>
      <c r="J38" s="110"/>
      <c r="K38" s="110"/>
    </row>
    <row r="39" spans="5:11" x14ac:dyDescent="0.35">
      <c r="E39" s="110"/>
      <c r="F39" s="110"/>
      <c r="G39" s="110"/>
      <c r="H39" s="110"/>
      <c r="I39" s="110"/>
      <c r="J39" s="110"/>
      <c r="K39" s="110"/>
    </row>
  </sheetData>
  <mergeCells count="9">
    <mergeCell ref="E37:K39"/>
    <mergeCell ref="E33:K35"/>
    <mergeCell ref="G1:G15"/>
    <mergeCell ref="A15:F15"/>
    <mergeCell ref="C25:C29"/>
    <mergeCell ref="C20:C23"/>
    <mergeCell ref="E18:K23"/>
    <mergeCell ref="E25:K27"/>
    <mergeCell ref="E29:K3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TLDR</vt:lpstr>
      <vt:lpstr>Best</vt:lpstr>
      <vt:lpstr>Hats</vt:lpstr>
      <vt:lpstr>Shirts</vt:lpstr>
      <vt:lpstr>Gloves</vt:lpstr>
      <vt:lpstr>Pants</vt:lpstr>
      <vt:lpstr>Full sets</vt:lpstr>
      <vt:lpstr>Utility</vt:lpstr>
      <vt:lpstr>Results</vt:lpstr>
      <vt:lpstr>Config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Otto Palmgren (Nokia)</dc:creator>
  <cp:lastModifiedBy>Otto Palmgren (Nokia)</cp:lastModifiedBy>
  <dcterms:created xsi:type="dcterms:W3CDTF">2026-03-25T07:57:00Z</dcterms:created>
  <dcterms:modified xsi:type="dcterms:W3CDTF">2026-03-27T06:41:57Z</dcterms:modified>
</cp:coreProperties>
</file>